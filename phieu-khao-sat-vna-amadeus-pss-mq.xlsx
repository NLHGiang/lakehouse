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wnloads\"/>
    </mc:Choice>
  </mc:AlternateContent>
  <xr:revisionPtr revIDLastSave="0" documentId="13_ncr:1_{5B7120F8-CC4D-40B3-982D-A0116AED3642}" xr6:coauthVersionLast="47" xr6:coauthVersionMax="47" xr10:uidLastSave="{00000000-0000-0000-0000-000000000000}"/>
  <bookViews>
    <workbookView xWindow="28680" yWindow="825" windowWidth="29040" windowHeight="15720" tabRatio="754" firstSheet="1" activeTab="4" xr2:uid="{00000000-000D-0000-FFFF-FFFF00000000}"/>
  </bookViews>
  <sheets>
    <sheet name="00_Huong_dan" sheetId="1" r:id="rId1"/>
    <sheet name="01_Tong_quan" sheetId="2" r:id="rId2"/>
    <sheet name="A_Ha_tang_MQ" sheetId="3" r:id="rId3"/>
    <sheet name="B_Interface_Amadeus" sheetId="4" r:id="rId4"/>
    <sheet name="C_Consumer" sheetId="13" r:id="rId5"/>
    <sheet name="D_Ket_noi_Bao_mat" sheetId="14" r:id="rId6"/>
    <sheet name="E1_Artifact" sheetId="7" r:id="rId7"/>
    <sheet name="E2_QSTATUS" sheetId="8" r:id="rId8"/>
    <sheet name="E3_MQSC" sheetId="9" r:id="rId9"/>
    <sheet name="F_Lua_chon_KT" sheetId="10" r:id="rId10"/>
    <sheet name="G_Xac_minh" sheetId="11" r:id="rId11"/>
    <sheet name="Phu_luc" sheetId="12" r:id="rId12"/>
  </sheets>
  <definedNames>
    <definedName name="_xlnm._FilterDatabase" localSheetId="2" hidden="1">A_Ha_tang_MQ!$A$3:$G$24</definedName>
    <definedName name="_xlnm._FilterDatabase" localSheetId="3" hidden="1">B_Interface_Amadeus!$A$4:$G$27</definedName>
    <definedName name="_xlnm._FilterDatabase" localSheetId="5" hidden="1">D_Ket_noi_Bao_mat!$A$3:$G$17</definedName>
  </definedName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F8" i="2" l="1"/>
  <c r="E8" i="2"/>
  <c r="D8" i="2"/>
  <c r="C8" i="2"/>
  <c r="G8" i="2" s="1"/>
  <c r="F7" i="2"/>
  <c r="E7" i="2"/>
  <c r="D7" i="2"/>
  <c r="C7" i="2"/>
  <c r="G7" i="2" s="1"/>
  <c r="F6" i="2"/>
  <c r="E6" i="2"/>
  <c r="D6" i="2"/>
  <c r="C6" i="2"/>
  <c r="F5" i="2"/>
  <c r="E5" i="2"/>
  <c r="D5" i="2"/>
  <c r="C5" i="2"/>
  <c r="H8" i="2" l="1"/>
  <c r="H7" i="2"/>
  <c r="D9" i="2"/>
  <c r="G6" i="2"/>
  <c r="F9" i="2"/>
  <c r="H6" i="2"/>
  <c r="H5" i="2"/>
  <c r="E9" i="2"/>
  <c r="C9" i="2"/>
  <c r="G5" i="2"/>
  <c r="H9" i="2" l="1"/>
  <c r="G9" i="2"/>
</calcChain>
</file>

<file path=xl/sharedStrings.xml><?xml version="1.0" encoding="utf-8"?>
<sst xmlns="http://schemas.openxmlformats.org/spreadsheetml/2006/main" count="676" uniqueCount="423">
  <si>
    <t>Phiếu khảo sát kỹ thuật — Tích hợp dữ liệu PSS qua IBM MQ</t>
  </si>
  <si>
    <t>Khách hàng: Vietnam Airlines   ·   Nguồn dữ liệu: Amadeus PSS → IBM MQ   ·   Phiên bản 4.0</t>
  </si>
  <si>
    <t>Phạm vi tài liệu</t>
  </si>
  <si>
    <t>Thuần kỹ thuật. Các nội dung về hợp đồng, pháp lý, phân công trách nhiệm và quy trình phê duyệt không thuộc phạm vi phiếu này.</t>
  </si>
  <si>
    <t>Mục tiêu</t>
  </si>
  <si>
    <t>Lấy một bản sao dữ liệu có nguồn gốc từ hệ thống Amadeus PSS, hiện đang được đưa vào một queue trên IBM MQ, để phục vụ hệ thống xử lý dữ liệu mới.</t>
  </si>
  <si>
    <t>Ràng buộc 1</t>
  </si>
  <si>
    <t>Không đọc phá huỷ trên queue nguồn. Queue đã có consumer DIH đang GET; đọc trực tiếp sẽ tranh mất message của ứng dụng này.</t>
  </si>
  <si>
    <t>Ràng buộc 2</t>
  </si>
  <si>
    <t>Không thay đổi phía Amadeus trong phương án mặc định.</t>
  </si>
  <si>
    <t>Ràng buộc 3</t>
  </si>
  <si>
    <t>Không tạo backpressure ngược lên queue nguồn trong mọi tình huống vận hành của hệ thống đích.</t>
  </si>
  <si>
    <t>Cách điền</t>
  </si>
  <si>
    <t>Cột</t>
  </si>
  <si>
    <t>Hướng dẫn</t>
  </si>
  <si>
    <t>Mã</t>
  </si>
  <si>
    <t>Mã câu hỏi. Không sửa. Dùng để tham chiếu giữa các sheet.</t>
  </si>
  <si>
    <t>Câu hỏi</t>
  </si>
  <si>
    <t>Nội dung câu hỏi. Không sửa.</t>
  </si>
  <si>
    <t>Ưu tiên</t>
  </si>
  <si>
    <t>P0 = chưa có câu trả lời thì chưa thể chốt kiến trúc. P1 = cần trước khi implement. P2 = cần trước khi go-live. Không sửa.</t>
  </si>
  <si>
    <t>Trạng thái</t>
  </si>
  <si>
    <t>Chọn từ danh sách: Chưa trả lời / Đã trả lời / Không áp dụng. Sheet 01_Tong_quan tính tiến độ dựa trên cột này.</t>
  </si>
  <si>
    <t>Trả lời</t>
  </si>
  <si>
    <t>Ô cần điền. Nền vàng.</t>
  </si>
  <si>
    <t>Nguồn verify</t>
  </si>
  <si>
    <t>Ô cần điền. Ghi nguồn xác minh: tên tài liệu và số trang, tên lệnh MQSC đã chạy, hoặc tên file sample. Trả lời theo trí nhớ thì ghi rõ là theo trí nhớ.</t>
  </si>
  <si>
    <t>Ghi chú</t>
  </si>
  <si>
    <t>Ô cần điền. Tuỳ chọn.</t>
  </si>
  <si>
    <t>Ví dụ một dòng đã điền</t>
  </si>
  <si>
    <t>A1</t>
  </si>
  <si>
    <t>Version chính xác của IBM MQ (dspmqver hoặc DISPLAY QMGR VERSION).</t>
  </si>
  <si>
    <t>P0</t>
  </si>
  <si>
    <t>Đã trả lời</t>
  </si>
  <si>
    <t>IBM MQ 9.3.0.17 LTS, chạy trên RHEL 8.8</t>
  </si>
  <si>
    <t>Output dspmqver ngày 12/08/2026, file dspmqver-qm01.txt</t>
  </si>
  <si>
    <t>STREAMQ khả dụng</t>
  </si>
  <si>
    <t>Chú giải màu</t>
  </si>
  <si>
    <t>Ô nền vàng</t>
  </si>
  <si>
    <t>Ô cần điền</t>
  </si>
  <si>
    <t>Chặn thiết kế</t>
  </si>
  <si>
    <t>P1</t>
  </si>
  <si>
    <t>Cần trước khi implement</t>
  </si>
  <si>
    <t>P2</t>
  </si>
  <si>
    <t>Cần trước khi go-live</t>
  </si>
  <si>
    <t>Tổng quan tiến độ khảo sát</t>
  </si>
  <si>
    <t>Các số liệu dưới đây tự cập nhật theo cột Trạng thái ở từng sheet câu hỏi.</t>
  </si>
  <si>
    <t>Phần</t>
  </si>
  <si>
    <t>Nội dung</t>
  </si>
  <si>
    <t>Tổng số câu</t>
  </si>
  <si>
    <t>Số P0</t>
  </si>
  <si>
    <t>Không áp dụng</t>
  </si>
  <si>
    <t>Còn lại</t>
  </si>
  <si>
    <t>% hoàn thành</t>
  </si>
  <si>
    <t>A</t>
  </si>
  <si>
    <t>Queue manager và hạ tầng MQ</t>
  </si>
  <si>
    <t>B</t>
  </si>
  <si>
    <t>Interface và định dạng dữ liệu từ Amadeus PSS</t>
  </si>
  <si>
    <t>C</t>
  </si>
  <si>
    <t>DIH: tương tác với MQ, tài liệu kỹ thuật, rà soát consumer khác</t>
  </si>
  <si>
    <t>D</t>
  </si>
  <si>
    <t>Kết nối, bảo mật kỹ thuật và môi trường</t>
  </si>
  <si>
    <t>TỔNG</t>
  </si>
  <si>
    <t>Ghi chú: các công thức đếm trên vùng dòng 3 đến 200 của từng sheet câu hỏi, dựa trên cột Ưu tiên và cột Trạng thái. Nếu chèn thêm dòng câu hỏi vượt quá dòng 200, cần mở rộng vùng tham chiếu tương ứng. Cột 'Còn lại' = Tổng số câu − Đã trả lời − Không áp dụng.</t>
  </si>
  <si>
    <t>Phần A — Queue manager và hạ tầng MQ</t>
  </si>
  <si>
    <t>Chưa trả lời</t>
  </si>
  <si>
    <t>A2</t>
  </si>
  <si>
    <t>Platform: z/OS, AIX, Linux, Windows, MQ Appliance, hay container?</t>
  </si>
  <si>
    <t>A3</t>
  </si>
  <si>
    <t>Mô hình HA: standalone, Multi-Instance QM, RDQM, hay HA cluster của OS?</t>
  </si>
  <si>
    <t>A4</t>
  </si>
  <si>
    <t>Tên queue manager, hostname/IP, listener port. Nếu HA thì liệt kê đầy đủ connection name list.</t>
  </si>
  <si>
    <t>A5</t>
  </si>
  <si>
    <t>Tên chính xác của queue nguồn. Nó là local queue, alias, remote queue hay cluster queue?</t>
  </si>
  <si>
    <t>A6</t>
  </si>
  <si>
    <t>Nếu là cluster queue: có nhiều instance trên nhiều QM không, workload balancing có đang chia message không?</t>
  </si>
  <si>
    <t>A7</t>
  </si>
  <si>
    <t>Hiện đã xác định DIH đang GET từ queue này. Ngoài DIH còn ứng dụng nào khác đang mở queue không? Thực hiện theo giao thức lấy mẫu tại sheet E2_QSTATUS thay vì chụp một lần.</t>
  </si>
  <si>
    <t>A8</t>
  </si>
  <si>
    <t>Feed PSS này hiện được phân phối cho bao nhiêu hệ thống? Nếu nhiều hơn một, cơ chế fan-out hiện tại là gì: nhiều queue, topic, hay một lớp ESB?</t>
  </si>
  <si>
    <t>A9</t>
  </si>
  <si>
    <t>Với version hiện tại, có bật được attribute STREAMQ trên queue nguồn để nhân bản message sang một queue riêng không? (yêu cầu MQ 9.3 trở lên)</t>
  </si>
  <si>
    <t>A10</t>
  </si>
  <si>
    <t>Nếu không dùng được STREAMQ: phương án chuyển queue nguồn thành QALIAS với TARGTYPE(TOPIC) và tạo administrative subscription có khả thi về mặt kỹ thuật không?</t>
  </si>
  <si>
    <t>A11</t>
  </si>
  <si>
    <t>Volume: TPS trung bình, TPS peak, tổng số message/ngày, tổng dung lượng/ngày.</t>
  </si>
  <si>
    <t>A12</t>
  </si>
  <si>
    <t>Phân bố theo thời gian: đều trong ngày, hay dồn theo chu kỳ khai thác (giờ bay cao điểm, kỳ chốt cuối tháng)? Queue depth cao nhất từng ghi nhận?</t>
  </si>
  <si>
    <t>A13</t>
  </si>
  <si>
    <t>Queue attributes hiện tại: MAXDEPTH, MAXMSGL, DEFPSIST, BOTHRESH, BOQNAME, GET/PUT status.</t>
  </si>
  <si>
    <t>A14</t>
  </si>
  <si>
    <t>Nếu cấp queue riêng: MAXDEPTH dự kiến là bao nhiêu, tương đương bao nhiêu giờ backlog ở TPS peak? Dung lượng log và storage còn dư có đủ không?</t>
  </si>
  <si>
    <t>A15</t>
  </si>
  <si>
    <t>Dead letter queue của QM (DEADQ) là queue nào? Hiện có message tồn trong đó không, và với Reason code nào?</t>
  </si>
  <si>
    <t>A16</t>
  </si>
  <si>
    <t>CCSID của queue manager và CCSID được set trên message ở queue nguồn.</t>
  </si>
  <si>
    <t>A17</t>
  </si>
  <si>
    <t>Kích thước message: trung bình, p99, tối đa. Có message nào vượt MAXMSGL của channel không?</t>
  </si>
  <si>
    <t>A18</t>
  </si>
  <si>
    <t>Channel dùng cho hệ thống mới: SVRCONN riêng hay dùng chung? Giá trị MAXINST, MAXINSTC, SHARECNV, HBINT.</t>
  </si>
  <si>
    <t>A19</t>
  </si>
  <si>
    <t>Có CCDT không? Định dạng binary hay JSON? Cơ chế phân phối tới client (file, MQCCDTURL)?</t>
  </si>
  <si>
    <t>A20</t>
  </si>
  <si>
    <t>Lịch maintenance window và lịch restart QM. Khi QM restart, client có được kỳ vọng tự reconnect không, và SHARECNV hiện tại có cho phép bật MQCNO_RECONNECT không?</t>
  </si>
  <si>
    <t>A21</t>
  </si>
  <si>
    <t>Hệ thống monitoring MQ đang dùng là gì? Có expose được metric queue depth, channel status, và message rate cho hệ thống mới không?</t>
  </si>
  <si>
    <t>Phần B — Interface và định dạng dữ liệu từ Amadeus PSS</t>
  </si>
  <si>
    <t>Phần lớn nội dung dưới đây đã có sẵn trong tài liệu đặc tả interface do Amadeus cung cấp. Đề nghị cung cấp tài liệu thay vì trả lời theo trí nhớ; nội dung sẽ được đối chiếu lại với sample message thực tế.</t>
  </si>
  <si>
    <t>B1</t>
  </si>
  <si>
    <t>Tên chính xác của interface hoặc dịch vụ Amadeus đang cấp dữ liệu cho queue này, kèm số hiệu và phiên bản tài liệu đặc tả.</t>
  </si>
  <si>
    <t>B2</t>
  </si>
  <si>
    <t>Loại dữ liệu nghiệp vụ đi qua feed: đặt chỗ, vé, sự kiện làm thủ tục, lịch bay, tải chỗ, hay hỗn hợp nhiều loại trên cùng một queue?</t>
  </si>
  <si>
    <t>B3</t>
  </si>
  <si>
    <t>Nếu hỗn hợp nhiều loại: phân biệt loại message bằng cách nào — field trong MQMD, header trong payload, hay MQMD.Format?</t>
  </si>
  <si>
    <t>B4</t>
  </si>
  <si>
    <t>Format payload: message teletype kiểu IATA Type B, EDIFACT theo chuẩn PADIS, XML, JSON, hay fixed-length record? Nếu theo chuẩn ngành thì phiên bản chuẩn nào?</t>
  </si>
  <si>
    <t>B5</t>
  </si>
  <si>
    <t>Amadeus đẩy trực tiếp vào queue này, hay có một thành phần trung gian ở giữa (adapter, ESB, gateway, MQ-to-MQ channel)? Nếu có, thành phần đó biến đổi dữ liệu hay chỉ chuyển tiếp nguyên trạng?</t>
  </si>
  <si>
    <t>B6</t>
  </si>
  <si>
    <t>Thành phần thực hiện PUT set MQMD.Persistence là PERSISTENT hay NON_PERSISTENT?</t>
  </si>
  <si>
    <t>B7</t>
  </si>
  <si>
    <t>Có set MQMD.Expiry không? Giá trị bao nhiêu? (-1 = MQEI_UNLIMITED = không hết hạn; đơn vị là phần mười giây)</t>
  </si>
  <si>
    <t>B8</t>
  </si>
  <si>
    <t>Khi PUT nhận MQRC_2053 (MQRC_Q_FULL), hành vi kỹ thuật là gì: retry, ghi log rồi bỏ qua, hay dừng kênh nhận và tích luỹ ở đầu nguồn?</t>
  </si>
  <si>
    <t>B9</t>
  </si>
  <si>
    <t>Bộ ký tự của payload. Cụ thể: tên hành khách truyền ở dạng chữ in hoa không dấu hay có giữ dấu tiếng Việt? Nếu không dấu, việc lược dấu xảy ra ở Amadeus hay ở thành phần trung gian tại B5?</t>
  </si>
  <si>
    <t>B10</t>
  </si>
  <si>
    <t>Có trường nào trong payload dùng bộ ký tự khác phần còn lại không (ví dụ trường ghi chú tự do)?</t>
  </si>
  <si>
    <t>B11</t>
  </si>
  <si>
    <t>Phạm vi ordering: thứ tự có ý nghĩa trong phạm vi từng hồ sơ đặt chỗ (theo record locator), hay bắt buộc đúng thứ tự trên toàn bộ feed?</t>
  </si>
  <si>
    <t>B12</t>
  </si>
  <si>
    <t>Nếu theo record locator: field chứa record locator nằm ở MQMD hay trong payload, tên field cụ thể?</t>
  </si>
  <si>
    <t>B13</t>
  </si>
  <si>
    <t>Thứ tự hiện tại có được đảm bảo về mặt kỹ thuật không? Có bao nhiêu kênh truyền song song từ Amadeus, MQMD.Priority có được dùng khác nhau không?</t>
  </si>
  <si>
    <t>B14</t>
  </si>
  <si>
    <t>Message có mang sequence number hoặc timestamp phát sinh tại nguồn không? Nếu có: tên field, và ngữ nghĩa là tăng đơn điệu trên toàn feed hay theo từng hồ sơ?</t>
  </si>
  <si>
    <t>B15</t>
  </si>
  <si>
    <t>Đặc tả có nêu khả năng message trùng lặp không? Có cơ chế retransmission khi đầu nhận không xác nhận không?</t>
  </si>
  <si>
    <t>B16</t>
  </si>
  <si>
    <t>Có cơ chế phát hiện thiếu sót dữ liệu không: sequence liên tục, control total cuối ngày, hay file đối soát?</t>
  </si>
  <si>
    <t>B17</t>
  </si>
  <si>
    <t>Amadeus có phát lại dữ liệu quá khứ được không? Trong phạm vi bao nhiêu ngày, và dữ liệu phát lại đi vào cùng queue hay một kênh riêng?</t>
  </si>
  <si>
    <t>B18</t>
  </si>
  <si>
    <t>Field nào trong payload dùng làm idempotency key ổn định (record locator kết hợp version, hay transaction id do nguồn sinh)?</t>
  </si>
  <si>
    <t>B19</t>
  </si>
  <si>
    <t>Field nào trong MQMD mang ý nghĩa nghiệp vụ: MsgId, CorrelId, GroupId, MsgSeqNumber, ApplIdentityData, PutApplName, PutDate/PutTime?</t>
  </si>
  <si>
    <t>B20</t>
  </si>
  <si>
    <t>Có dùng message grouping hoặc segmentation không? Message vượt giới hạn kích thước được chia nhiều phần theo cơ chế nào?</t>
  </si>
  <si>
    <t>B21</t>
  </si>
  <si>
    <t>Interface có versioning không? Phiên bản hiện tại đang chạy là gì, và các phiên bản trước có thay đổi format ở mức nào?</t>
  </si>
  <si>
    <t>B22</t>
  </si>
  <si>
    <t>Cung cấp được toàn bộ message thực tế trong một cửa sổ 7 ngày liên tục (đã che dữ liệu nhạy cảm) không? Đề nghị dump cả MQMD và body, giữ nguyên thứ tự nhận, ghi rõ mốc bắt đầu và kết thúc của cửa sổ, và ưu tiên cửa sổ có chứa ngày chốt cuối tháng. Nếu dung lượng lớn, thống nhất trước về định dạng xuất và cách nén.</t>
  </si>
  <si>
    <t>B23</t>
  </si>
  <si>
    <t>Nếu áp dụng phương án QALIAS → TOPIC (mục A10): đường truyền từ Amadeus tới queue có bị ảnh hưởng không? Cấu hình đầu nguồn có tham chiếu tới tên và loại object đích không?</t>
  </si>
  <si>
    <t>Về B9: câu hỏi này ảnh hưởng trực tiếp tới chất lượng đối sánh danh tính ở hệ thống đích. Nếu tên hành khách đến ở dạng in hoa không dấu, việc gộp hồ sơ với các nguồn dữ liệu khác có tên đầy đủ dấu cần chiến lược chuẩn hoá riêng và có tỷ lệ nhận nhầm cao hơn, do phân bố họ tên tiếng Việt rất tập trung. Đây là ràng buộc cần biết ở giai đoạn thiết kế, không phải ở giai đoạn tinh chỉnh mô hình.</t>
  </si>
  <si>
    <t>Phần C — Consumer hiện tại (DIH) và rà soát consumer khác</t>
  </si>
  <si>
    <t>DIH là một mini data warehouse do một nhà cung cấp khác phát triển cho Quý khách. Phạm vi phần này giới hạn ở cách DIH tương tác với queue manager, bộ tài liệu kỹ thuật của DIH, và việc rà soát các consumer khác. Không khảo sát hệ thống downstream của DIH. Với mỗi consumer bổ sung được xác định ở nhóm C.3, tạo một bản sao sheet này và điền lại nhóm C.1.</t>
  </si>
  <si>
    <t>Consumer đang khảo sát</t>
  </si>
  <si>
    <t>DIH</t>
  </si>
  <si>
    <t>C.1 — Cách DIH tương tác với queue manager</t>
  </si>
  <si>
    <t>C1</t>
  </si>
  <si>
    <t>Version DIH đang chạy trên production và ngày triển khai bản hiện tại.</t>
  </si>
  <si>
    <t>C2</t>
  </si>
  <si>
    <t>DIH kết nối theo kiểu client binding qua SVRCONN hay local binding? Dùng channel nào, và giá trị APPLTAG mà DIH đăng ký là gì?</t>
  </si>
  <si>
    <t>C3</t>
  </si>
  <si>
    <t>DIH giữ connection thường trực hay connect/disconnect theo từng phiên xử lý? Chiếm bao nhiêu connection và channel instance ở trạng thái bình thường và lúc peak?</t>
  </si>
  <si>
    <t>C4</t>
  </si>
  <si>
    <t>DIH mở queue với option nào: MQOO_INPUT_SHARED hay MQOO_INPUT_EXCLUSIVE? Có dùng MQOO_BROWSE trước khi GET không?</t>
  </si>
  <si>
    <t>C5</t>
  </si>
  <si>
    <t>Có bao nhiêu instance DIH chạy song song, và chúng cùng GET trên một queue hay mỗi instance một queue riêng?</t>
  </si>
  <si>
    <t>C6</t>
  </si>
  <si>
    <t>DIH GET tuần tự toàn bộ message, hay dùng selective GET theo MsgId, CorrelId hoặc GroupId? Nếu selective, message không khớp điều kiện có tồn lại trong queue không?</t>
  </si>
  <si>
    <t>C7</t>
  </si>
  <si>
    <t>DIH GET trong syncpoint hay ngoài syncpoint? Có tham gia XA transaction không? Thời lượng tối đa của một unit of work là bao lâu?</t>
  </si>
  <si>
    <t>C8</t>
  </si>
  <si>
    <t>DIH xử lý message hỏng thế nào: dựa vào BOTHRESH và backout queue, hay để message backout lặp lại trên queue nguồn không giới hạn?</t>
  </si>
  <si>
    <t>C9</t>
  </si>
  <si>
    <t>DIH chạy liên tục hay theo lịch batch? Nếu batch, lịch chạy cụ thể là gì? Tần suất và thời lượng downtime theo kế hoạch?</t>
  </si>
  <si>
    <t>C10</t>
  </si>
  <si>
    <t>Khi DIH dừng hoặc xử lý không kịp, queue depth tăng tới mức nào? Hiện có cảnh báo theo ngưỡng depth không, và có cơ chế xả queue nào đang áp dụng (expiry, purge thủ công)?</t>
  </si>
  <si>
    <t>C11</t>
  </si>
  <si>
    <t>DIH có PUT trở lại queue nào khác trên cùng queue manager không: reply queue, error queue, backout queue, hay queue chuyển tiếp?</t>
  </si>
  <si>
    <t>C12</t>
  </si>
  <si>
    <t>DIH có bật client auto-reconnect không? Giá trị SHARECNV và HBINT trên channel mà DIH dùng là bao nhiêu?</t>
  </si>
  <si>
    <t>C13</t>
  </si>
  <si>
    <t>Nếu áp dụng phương án QALIAS → TOPIC (mục A10): DIH có hardcode tên queue, hay có phụ thuộc vào việc object đích là QLOCAL không?</t>
  </si>
  <si>
    <t>C.2 — Tài liệu kỹ thuật của DIH</t>
  </si>
  <si>
    <t>C14</t>
  </si>
  <si>
    <t>Bộ tài liệu kỹ thuật của DIH gồm những tài liệu nào (thiết kế kiến trúc, đặc tả tích hợp, tài liệu vận hành, tài liệu bàn giao)? Phiên bản mới nhất và ngày cập nhật cuối của từng tài liệu.</t>
  </si>
  <si>
    <t>C15</t>
  </si>
  <si>
    <t>Tài liệu đặc tả tích hợp giữa DIH và IBM MQ: tên queue, tên channel, tham số kết nối, cơ chế xử lý lỗi và retry.</t>
  </si>
  <si>
    <t>C16</t>
  </si>
  <si>
    <t>Tài liệu mô tả cách DIH diễn giải payload nhận từ Amadeus: mapping từ field trong message sang cấu trúc dữ liệu nội bộ, và các quy tắc xử lý giá trị đặc biệt.</t>
  </si>
  <si>
    <t>C17</t>
  </si>
  <si>
    <t>Runbook vận hành DIH: quy trình khởi động và dừng, thao tác khi queue tồn đọng, thao tác khi gặp message lỗi.</t>
  </si>
  <si>
    <t>C18</t>
  </si>
  <si>
    <t>Tài liệu có liệt kê các tham số cấu hình MQ của DIH có thể điều chỉnh không: batch size, poll interval, số luồng consume, timeout, wait interval?</t>
  </si>
  <si>
    <t>C19</t>
  </si>
  <si>
    <t>Có nhật ký thay đổi ghi nhận các điều chỉnh cấu hình MQ của DIH kể từ khi triển khai không?</t>
  </si>
  <si>
    <t>C.3 — Rà soát các consumer khác ngoài DIH</t>
  </si>
  <si>
    <t>C20</t>
  </si>
  <si>
    <t>Ngoài DIH, còn ứng dụng nào khác đang GET từ queue nguồn không? Nếu có, liệt kê tên và APPLTAG tương ứng.</t>
  </si>
  <si>
    <t>C21</t>
  </si>
  <si>
    <t>Có công cụ nào chỉ BROWSE queue này mà không GET không, ví dụ công cụ giám sát, đối soát, hay script vận hành?</t>
  </si>
  <si>
    <t>C22</t>
  </si>
  <si>
    <t>Có ứng dụng nào kết nối theo lịch (cuối ngày, cuối tháng, theo sự kiện) mà không thường trực không? Nếu có, lịch kết nối là gì?</t>
  </si>
  <si>
    <t>C23</t>
  </si>
  <si>
    <t>Trong kết quả lấy mẫu QSTATUS tại sheet E2_QSTATUS, có xuất hiện APPLTAG nào ngoài giá trị DIH khai ở mục C2 không? Nếu có, liệt kê kèm OPENOPTS tương ứng.</t>
  </si>
  <si>
    <t>Phần D — Kết nối, bảo mật kỹ thuật và môi trường</t>
  </si>
  <si>
    <t>D1</t>
  </si>
  <si>
    <t>Mô hình kết nối khả thi: (a) kết nối trực tiếp vào queue manager qua SVRCONN từ hạ tầng của hệ thống mới, (b) đặt agent trong mạng nội bộ, hay (c) qua một lớp trung gian sẵn có?</t>
  </si>
  <si>
    <t>D2</t>
  </si>
  <si>
    <t>Có sẵn lớp integration nào (ACE/IIB, ESB, API gateway) có thể đảm nhiệm việc nhân bản hoặc đẩy dữ liệu không? Nếu có, sản phẩm gì và version nào?</t>
  </si>
  <si>
    <t>D3</t>
  </si>
  <si>
    <t>Queue nguồn có bật AMS (Advanced Message Security) không? Nếu có, policy là sign, encrypt, hay cả hai, và dùng thuật toán nào?</t>
  </si>
  <si>
    <t>D4</t>
  </si>
  <si>
    <t>TLS có bắt buộc trên SVRCONN không? SSLCIPH cụ thể, TLS 1.2 hay 1.3? Có yêu cầu mutual TLS không?</t>
  </si>
  <si>
    <t>D5</t>
  </si>
  <si>
    <t>Định dạng keystore mà phía client cần chuẩn bị: JKS, PKCS12, hay kdb? Có ràng buộc SSLPEER trên Distinguished Name không?</t>
  </si>
  <si>
    <t>D6</t>
  </si>
  <si>
    <t>Ngày hết hạn của certificate đang dùng trên channel liên quan.</t>
  </si>
  <si>
    <t>D7</t>
  </si>
  <si>
    <t>CONNAUTH đang dùng cơ chế nào: OS user, LDAP, hay IDPWOS?</t>
  </si>
  <si>
    <t>D8</t>
  </si>
  <si>
    <t>CHLAUTH rules áp lên channel là gì? Có ràng buộc theo địa chỉ nguồn không?</t>
  </si>
  <si>
    <t>D9</t>
  </si>
  <si>
    <t>Quyền cần có trên MQ để consume: connect và inq trên QM; get, browse, inq trên queue đích. Có ràng buộc kỹ thuật nào khác không?</t>
  </si>
  <si>
    <t>D10</t>
  </si>
  <si>
    <t>Giữa hạ tầng của hệ thống mới và QM có load balancer hoặc firewall có idle timeout không? Giá trị bao nhiêu giây?</t>
  </si>
  <si>
    <t>D11</t>
  </si>
  <si>
    <t>Đường mạng: VPN site-to-site, leased line, hay Direct Connect? Băng thông khả dụng? Có NAT trên đường đi không?</t>
  </si>
  <si>
    <t>D12</t>
  </si>
  <si>
    <t>Có bao nhiêu environment (DEV/SIT/UAT/PROD)? Feed PSS tồn tại ở env nào?</t>
  </si>
  <si>
    <t>D13</t>
  </si>
  <si>
    <t>Dữ liệu ở môi trường thấp là dữ liệu thật, dữ liệu giả lập, hay dữ liệu production đã che? Nó có đại diện được cho các edge case của production không?</t>
  </si>
  <si>
    <t>D14</t>
  </si>
  <si>
    <t>Nếu môi trường thấp không có feed đại diện: thực hiện BROWSE (không phá huỷ) trên production để xác minh định dạng có khả thi về mặt kỹ thuật không?</t>
  </si>
  <si>
    <t>Phần E1 — Artifact và dữ liệu cần cung cấp</t>
  </si>
  <si>
    <t>#</t>
  </si>
  <si>
    <t>Artifact</t>
  </si>
  <si>
    <t>Tên file / đường dẫn</t>
  </si>
  <si>
    <t>Tài liệu đặc tả interface Amadeus tương ứng với feed này (mục B1)</t>
  </si>
  <si>
    <t>Artifact quan trọng nhất của đợt khảo sát; toàn bộ bài toán parsing phụ thuộc mục này</t>
  </si>
  <si>
    <t>Chưa nhận</t>
  </si>
  <si>
    <t>Dữ liệu message thực tế trong cửa sổ 7 ngày liên tục, đã che dữ liệu nhạy cảm, dump cả MQMD và body</t>
  </si>
  <si>
    <t>Giữ nguyên thứ tự nhận; ghi rõ mốc bắt đầu và kết thúc; ưu tiên cửa sổ có chứa ngày chốt cuối tháng</t>
  </si>
  <si>
    <t>Sơ đồ luồng dữ liệu từ Amadeus tới queue nguồn</t>
  </si>
  <si>
    <t>Thể hiện mọi thành phần trung gian (mục B5)</t>
  </si>
  <si>
    <t>Sơ đồ mạng từ hạ tầng hệ thống mới tới queue manager</t>
  </si>
  <si>
    <t>Ghi rõ mọi hop, load balancer, firewall</t>
  </si>
  <si>
    <t>CCDT file và hướng dẫn import certificate</t>
  </si>
  <si>
    <t>Kèm định dạng keystore yêu cầu (mục D5)</t>
  </si>
  <si>
    <t>Bộ tài liệu kỹ thuật của DIH: thiết kế kiến trúc, đặc tả tích hợp MQ, mapping payload Amadeus, runbook vận hành</t>
  </si>
  <si>
    <t>Mục C14–C19; tài liệu mapping payload có giá trị đối chiếu cao với đặc tả Amadeus</t>
  </si>
  <si>
    <t>Output MQSC theo danh sách tại sheet E3_MQSC</t>
  </si>
  <si>
    <t>Chạy trên queue manager production</t>
  </si>
  <si>
    <t>Log lấy mẫu QSTATUS theo giao thức tại sheet E2_QSTATUS</t>
  </si>
  <si>
    <t>Tối thiểu 2 tuần, bao gồm một kỳ chốt cuối tháng</t>
  </si>
  <si>
    <t>Phần E2 — Giao thức lấy mẫu để xác định consumer</t>
  </si>
  <si>
    <t>DISPLAY QSTATUS ... TYPE(HANDLE) chỉ hiển thị các connection đang mở tại thời điểm chạy. Consumer dạng batch chỉ kết nối khi job chạy — thường ban đêm hoặc kỳ chốt tháng — và sẽ vô hình nếu chỉ chụp một lần trong giờ hành chính. Với một feed PSS phục vụ nhiều hệ thống, bỏ sót một consumer dẫn tới mất dữ liệu rải rác ở hệ thống đó, và thường chỉ phát hiện khi đối soát cuối kỳ.</t>
  </si>
  <si>
    <t>Đề nghị chạy định kỳ mỗi 30 phút, trong tối thiểu hai tuần, bao gồm một kỳ chốt cuối tháng:</t>
  </si>
  <si>
    <t>#!/bin/sh</t>
  </si>
  <si>
    <t># Ghi nhận các handle đang mở trên queue nguồn. Đặt lịch chạy mỗi 30 phút qua cron.</t>
  </si>
  <si>
    <t>QM=&lt;tên queue manager&gt;</t>
  </si>
  <si>
    <t>Q=&lt;tên queue nguồn&gt;</t>
  </si>
  <si>
    <t>OUTDIR=/var/log/mqsurvey</t>
  </si>
  <si>
    <t>mkdir -p "$OUTDIR"</t>
  </si>
  <si>
    <t>OUT="$OUTDIR/qstatus-$(date +%Y%m%d-%H%M%S).log"</t>
  </si>
  <si>
    <t>{</t>
  </si>
  <si>
    <t xml:space="preserve">  echo "DISPLAY QSTATUS($Q) TYPE(HANDLE) ALL"</t>
  </si>
  <si>
    <t xml:space="preserve">  echo "DISPLAY QSTATUS($Q) TYPE(QUEUE) ALL"</t>
  </si>
  <si>
    <t>} | runmqsc "$QM" &gt; "$OUT" 2&gt;&amp;1</t>
  </si>
  <si>
    <t>Trường cần quan tâm trong kết quả: APPLTAG (tên ứng dụng), OPENOPTS (mở để đọc hay ghi), CHANNEL và CONNAME (nguồn kết nối), USERID.</t>
  </si>
  <si>
    <t>Nếu không đặt lịch được, tối thiểu chụp tại các mốc: giờ hành chính, đêm khuya, rạng sáng, ngày làm việc đầu tháng, và ngày chốt cuối tháng.</t>
  </si>
  <si>
    <t>Phần E3 — MQSC command output cần cung cấp</t>
  </si>
  <si>
    <t>Lệnh</t>
  </si>
  <si>
    <t>Tên file output</t>
  </si>
  <si>
    <t>DISPLAY QMGR ALL</t>
  </si>
  <si>
    <t>DISPLAY QLOCAL(&lt;tên queue nguồn&gt;) ALL</t>
  </si>
  <si>
    <t>DISPLAY QUEUE(&lt;tên queue nguồn&gt;) TYPE(ALL)</t>
  </si>
  <si>
    <t>DISPLAY CONN(*) TYPE(ALL) ALL</t>
  </si>
  <si>
    <t>DISPLAY CHANNEL(*) ALL</t>
  </si>
  <si>
    <t>DISPLAY CHSTATUS(*) ALL</t>
  </si>
  <si>
    <t>DISPLAY CHLAUTH(*) ALL</t>
  </si>
  <si>
    <t>DISPLAY AUTHREC PROFILE(&lt;tên queue&gt;) OBJTYPE(QUEUE)</t>
  </si>
  <si>
    <t>DISPLAY SUB(*) ALL            -- nếu có pub/sub</t>
  </si>
  <si>
    <t>DISPLAY CLUSQMGR(*) ALL       -- nếu queue nằm trong MQ cluster</t>
  </si>
  <si>
    <t>Phần F — Các lựa chọn kỹ thuật cần chốt</t>
  </si>
  <si>
    <t>F1. Nguồn lấy dữ liệu</t>
  </si>
  <si>
    <t>Phương án</t>
  </si>
  <si>
    <t>Mô tả kỹ thuật</t>
  </si>
  <si>
    <t>Đánh đổi</t>
  </si>
  <si>
    <t>(a) Nhân bản từ queue hiện có</t>
  </si>
  <si>
    <t>STREAMQ hoặc QALIAS → TOPIC, ghi sang một queue dành riêng</t>
  </si>
  <si>
    <t>Cần thay đổi cấu hình trên MQ production; rủi ro ảnh hưởng consumer hiện tại nếu cấu hình sai</t>
  </si>
  <si>
    <t>(b) Thêm một destination ở đầu nguồn</t>
  </si>
  <si>
    <t>Amadeus đẩy song song sang một điểm nhận thứ hai</t>
  </si>
  <si>
    <t>Không đụng vào luồng nội bộ; nhưng thời gian thiết lập nằm ngoài tầm kiểm soát kỹ thuật</t>
  </si>
  <si>
    <t>Lựa chọn:</t>
  </si>
  <si>
    <t>Chờ kết quả A9</t>
  </si>
  <si>
    <t>F2. Nếu chọn F1(a) và dùng STREAMQ: giá trị của STRMQOS</t>
  </si>
  <si>
    <t>Lựa chọn</t>
  </si>
  <si>
    <t>Hành vi</t>
  </si>
  <si>
    <t>Hệ quả kỹ thuật</t>
  </si>
  <si>
    <t>MUSTDUP</t>
  </si>
  <si>
    <t>Nếu không ghi được bản sao, PUT gốc thất bại</t>
  </si>
  <si>
    <t>Queue đích đầy sẽ chặn việc tiếp nhận dữ liệu PSS vào queue nguồn</t>
  </si>
  <si>
    <t>BESTEF</t>
  </si>
  <si>
    <t>PUT gốc luôn thành công, bản sao có thể mất không có tín hiệu</t>
  </si>
  <si>
    <t>Mất dữ liệu âm thầm nếu không có cảnh báo queue depth và cơ chế đối soát</t>
  </si>
  <si>
    <t>Không có phương án trung gian. Khuyến nghị: BESTEF, kèm cảnh báo cứng trên queue depth của queue đích và đối soát định kỳ dựa trên cơ chế ở mục B16 — vì ràng buộc số 3 tại sheet 00_Huong_dan loại trừ mọi thiết kế có khả năng chặn ngược luồng nguồn.</t>
  </si>
  <si>
    <t>Chưa chốt</t>
  </si>
  <si>
    <t>F3. Xử lý message hỏng khi có ràng buộc ordering</t>
  </si>
  <si>
    <t>Dừng luồng</t>
  </si>
  <si>
    <t>Giữ đúng thứ tự tuyệt đối</t>
  </si>
  <si>
    <t>Một bản ghi lỗi làm đứng pipeline cho tới khi có can thiệp thủ công</t>
  </si>
  <si>
    <t>Bỏ qua và ghi nhận riêng</t>
  </si>
  <si>
    <t>Pipeline không bị chặn</t>
  </si>
  <si>
    <t>Thứ tự vỡ tại điểm đó; hệ thống đích cần cơ chế xử lý bản ghi bị bỏ qua</t>
  </si>
  <si>
    <t>Nếu mục B11 xác định phạm vi ordering là theo từng hồ sơ đặt chỗ, phương án dừng luồng có thể được thu hẹp thành dừng riêng partition chứa hồ sơ đó thay vì toàn bộ pipeline. Cần xác nhận B11 trước khi chốt mục này.</t>
  </si>
  <si>
    <t>Chờ kết quả B11</t>
  </si>
  <si>
    <t>Phần G — Phương án xác minh khi thiếu thông tin</t>
  </si>
  <si>
    <t>Với các mục không có tài liệu hoặc không xác định được nguồn trả lời, nội dung sẽ được xác minh bằng quan sát. Kết quả quan sát được ghi nhận là giả định có nhãn trong tài liệu thiết kế, không phải thông tin đã xác nhận.</t>
  </si>
  <si>
    <t>Cách xác minh thay thế</t>
  </si>
  <si>
    <t>Giới hạn</t>
  </si>
  <si>
    <t>B6, B7</t>
  </si>
  <si>
    <t>persistence, expiry</t>
  </si>
  <si>
    <t>BROWSE và dump MQMD</t>
  </si>
  <si>
    <t>Chỉ phản ánh message quan sát được trong cửa sổ đo</t>
  </si>
  <si>
    <t>B4, B9</t>
  </si>
  <si>
    <t>format, bộ ký tự</t>
  </si>
  <si>
    <t>Suy ra từ dữ liệu 7 ngày liên tục tại mục B22, có tên hành khách Việt Nam</t>
  </si>
  <si>
    <t>Cửa sổ 7 ngày bao phủ chu kỳ tuần nhưng không bao phủ chu kỳ tháng và mùa; loại message hiếm vẫn nằm ngoài tầm nhìn</t>
  </si>
  <si>
    <t>B11, B12</t>
  </si>
  <si>
    <t>ordering</t>
  </si>
  <si>
    <t>Quan sát chuỗi message trên cùng một record locator trong dữ liệu mẫu</t>
  </si>
  <si>
    <t>Cho thấy hành vi quan sát được, không chứng minh ràng buộc nghiệp vụ</t>
  </si>
  <si>
    <t>B15, B16</t>
  </si>
  <si>
    <t>trùng lặp, thiếu sót</t>
  </si>
  <si>
    <t>So sánh nội dung message trong cửa sổ quan sát để phát hiện trùng</t>
  </si>
  <si>
    <t>Không thay thế được cơ chế đối soát từ nguồn</t>
  </si>
  <si>
    <t>hành vi khi queue đầy</t>
  </si>
  <si>
    <t>Không đo được. Giả định theo hướng xấu nhất</t>
  </si>
  <si>
    <t>Buộc thiết kế phải loại trừ hoàn toàn khả năng tạo backpressure</t>
  </si>
  <si>
    <t>A7, C20–C23</t>
  </si>
  <si>
    <t>consumer ngoài DIH</t>
  </si>
  <si>
    <t>Giao thức lấy mẫu tại E2_QSTATUS, đối chiếu APPLTAG với giá trị DIH khai ở mục C2</t>
  </si>
  <si>
    <t>Consumer chạy theo lịch hiếm vẫn có thể bị bỏ sót</t>
  </si>
  <si>
    <t>Mọi mục xác minh bằng quan sát sẽ được ghi thành giả định có nhãn rõ ràng trong tài liệu thiết kế, kèm mô tả hệ quả kỹ thuật nếu giả định sai.</t>
  </si>
  <si>
    <t>Phụ lục — Năm thông tin quyết định kiến trúc</t>
  </si>
  <si>
    <t>Nếu thời gian trao đổi bị hạn chế, năm mục sau là điều kiện tối thiểu để bắt đầu thiết kế.</t>
  </si>
  <si>
    <t>Lý do</t>
  </si>
  <si>
    <t>Tên interface Amadeus và tài liệu đặc tả</t>
  </si>
  <si>
    <t>Toàn bộ bài toán parsing phụ thuộc mục này</t>
  </si>
  <si>
    <t>Xác nhận còn consumer nào ngoài DIH</t>
  </si>
  <si>
    <t>Đối chiếu câu trả lời với giao thức lấy mẫu tại E2_QSTATUS</t>
  </si>
  <si>
    <t>Phạm vi ordering</t>
  </si>
  <si>
    <t>Quyết định khả năng mở rộng theo chiều ngang của toàn bộ pipeline</t>
  </si>
  <si>
    <t>A1, A11</t>
  </si>
  <si>
    <t>Version MQ và số liệu volume</t>
  </si>
  <si>
    <t>Quyết định phương án nhân bản khả dụng và tính khả thi về throughput</t>
  </si>
  <si>
    <t>C4, C6</t>
  </si>
  <si>
    <t>Cách DIH mở và đọc queue</t>
  </si>
  <si>
    <t>Exclusive open hoặc selective GET quyết định mức rủi ro khi can thiệp vào queue nguồn</t>
  </si>
  <si>
    <t>Windows</t>
  </si>
  <si>
    <t>có</t>
  </si>
  <si>
    <t>9.1.2.0</t>
  </si>
  <si>
    <t>HA cluster (Windows Server Failover Cluster - WSFC). Hai node IBM MQ Server chạy active/passive; khi một node gặp sự cố, Queue Manager được failover sang node còn lại. Một máy Windows iSCSI được sử dụng làm quorum witness (vote) để duy trì quorum của cluster.</t>
  </si>
  <si>
    <t>Queue Manager: VNRD01
Hostname: MQ01-DIH-PROD/10.111.12.2 , MQ02-DIH-PROD/10.111.12.3
Listener port: 6666</t>
  </si>
  <si>
    <t>1. VN.CMB.PRD.IN - Local queue
2. VN.CMP.PRD.IN - Local queue
3. VN.PNR.PRD.IN - Local queue
4. VN.SKD.PRD.IN - Local queue
5. VN.TKT.PRD.IN - Local queue</t>
  </si>
  <si>
    <t>Chỉ 1 hệ thống DIH</t>
  </si>
  <si>
    <t>Không khả thi do hệ thống đang chạy IBM MQ 9.1.2.0.</t>
  </si>
  <si>
    <t>1. DCS_BAGGAGE: TPS trung bình - 14, TPS peak - 20, Tổng số message/ngày - 939,987.
2. DCS_PASSENGER: TPS trung bình - 41, TPS peak - 50, Tổng số message/ngày - 2,578,328.
3. PNR: TPS trung bình - 30 records/s, TPS peak - 40 records/s, Tổng số message/ngày - 1755603.
4. SKD: TPS trung bình - 10, TPS peak - 12, Tổng số message/ngày - 668,839.
5. TKT: TPS trung bình - 16, TPS peak - 25, Tổng số message/ngày - 833,890.</t>
  </si>
  <si>
    <t>MAXDEPTH: 10000000
MAXMSGL: 4194304
DEFPSIST: Not persistent
BOTHRESH: 
BOQNAME: 
GET status: Allowed
PUT status: Allowed</t>
  </si>
  <si>
    <t xml:space="preserve">Không có </t>
  </si>
  <si>
    <t xml:space="preserve">MAXDEPTH: 10000000
Đủ
</t>
  </si>
  <si>
    <t>không rõ</t>
  </si>
  <si>
    <t>svrconn</t>
  </si>
  <si>
    <t>không</t>
  </si>
  <si>
    <t>mỗi loại 1 queue</t>
  </si>
  <si>
    <t>json</t>
  </si>
  <si>
    <t>đẩy trực tiếp</t>
  </si>
  <si>
    <t>không có tiếng việt</t>
  </si>
  <si>
    <t>có trong tài liệu của amadeus</t>
  </si>
  <si>
    <t>có tổng hợp số cuối ngày</t>
  </si>
  <si>
    <t>tùy thuộc yêu cầu với amadeus</t>
  </si>
  <si>
    <t>event id</t>
  </si>
  <si>
    <t>không có</t>
  </si>
  <si>
    <t>chỉ lấy đc msg</t>
  </si>
  <si>
    <t>DISPLAY QMGR ALL
     8 : DISPLAY QMGR ALL
AMQ8408I: Display Queue Manager details.
   QMNAME(VNRD01)                          ACCTCONO(DISABLED)
   ACCTINT(1800)                           ACCTMQI(OFF)
   ACCTQ(OFF)                              ACTIVREC(MSG)
   ACTVCONO(DISABLED)                      ACTVTRC(OFF)
   ADVCAP(DISABLED)                        ALTDATE(2026-03-16)
   ALTTIME(17.03.47)                       AMQPCAP(NO)
   AUTHOREV(DISABLED)                      CCSID(437)
   CERTLABL(ibmwebspheremqvnrd01)          CERTVPOL(ANY)
   CHAD(DISABLED)                          CHADEV(DISABLED)
   CHADEXIT( )                             CHLEV(DISABLED)
   CHLAUTH(ENABLED)                        CLWLDATA( )
   CLWLEXIT( )                             CLWLLEN(100)
   CLWLMRUC(999999999)                     CLWLUSEQ(LOCAL)
   CMDEV(DISABLED)                         CMDLEVEL(912)
   COMMANDQ(SYSTEM.ADMIN.COMMAND.QUEUE)    CONFIGEV(DISABLED)
   CONNAUTH(SYSTEM.DEFAULT.AUTHINFO.IDPWOS)
   CRDATE(2026-03-16)                      CRTIME(17.03.47)
   CUSTOM( )                               DEADQ( )
   DEFCLXQ(SCTQ)                           DEFXMITQ( )
   DESCR( )                                DISTL(YES)
   IMGINTVL(60)                            IMGLOGLN(OFF)
   IMGRCOVO(YES)                           IMGRCOVQ(YES)
   IMGSCHED(MANUAL)                        INHIBTEV(DISABLED)
   IPADDRV(IPV4)                           LOCALEV(DISABLED)
   LOGGEREV(DISABLED)                      MARKINT(5000)
   MAXHANDS(256)                           MAXMSGL(4194304)
   MAXPROPL(NOLIMIT)                       MAXPRTY(9)
   MAXUMSGS(10000)                         MONACLS(QMGR)
   MONCHL(OFF)                             MONQ(OFF)
   PARENT( )                               PERFMEV(DISABLED)
   PLATFORM(WINDOWSNT)                     PSMODE(ENABLED)
   PSCLUS(ENABLED)                         PSNPMSG(DISCARD)
   PSNPRES(NORMAL)                         PSRTYCNT(5)
   PSSYNCPT(IFPER)                         QMID(VNRD01_2026-03-16_17.03.47)
   REMOTEEV(DISABLED)                      REPOS( )
   REPOSNL( )                              REVDNS(ENABLED)
   ROUTEREC(MSG)                           SCHINIT(QMGR)
   SCMDSERV(QMGR)                          SPLCAP(DISABLED)
   SSLCRLNL( )                             SSLCRYP( )
   SSLEV(DISABLED)                         SSLFIPS(NO)
   SSLKEYR(C:\ProgramData\IBM\MQ\qmgrs\VNRD01\ssl\key)
   SSLRKEYC(0)                             STATACLS(QMGR)
   STATCHL(OFF)                            STATINT(1800)
   STATMQI(OFF)                            STATQ(OFF)
   STRSTPEV(ENABLED)                       SUITEB(NONE)
   SYNCPT                                  TREELIFE(1800)
   TRIGINT(999999999)                      VERSION(09010200)
   XRCAP(NO)</t>
  </si>
  <si>
    <t>DISPLAY QLOCAL(VN.CMB.PRD.IN) ALL
     9 : DISPLAY QLOCAL(VN.CMB.PRD.IN) ALL
AMQ8409I: Display Queue details.
   QUEUE(VN.CMB.PRD.IN)                    TYPE(QLOCAL)
   ACCTQ(QMGR)                             ALTDATE(2026-07-24)
   ALTTIME(11.19.26)                       BOQNAME( )
   BOTHRESH(0)                             CLUSNL( )
   CLUSTER( )                              CLCHNAME( )
   CLWLPRTY(0)                             CLWLRANK(0)
   CLWLUSEQ(QMGR)                          CRDATE(2026-03-16)
   CRTIME(17.05.48)                        CURDEPTH(0)
   CUSTOM( )                               DEFBIND(OPEN)
   DEFPRTY(0)                              DEFPSIST(NO)
   DEFPRESP(SYNC)                          DEFREADA(NO)
   DEFSOPT(SHARED)                         DEFTYPE(PREDEFINED)
   DESCR( )                                DISTL(NO)
   GET(ENABLED)                            HARDENBO
   IMGRCOVQ(QMGR)                          INITQ( )
   IPPROCS(1)                              MAXDEPTH(10000000)
   MAXMSGL(4194304)                        MONQ(QMGR)
   MSGDLVSQ(PRIORITY)                      NOTRIGGER
   NPMCLASS(NORMAL)                        OPPROCS(0)
   PROCESS( )                              PUT(ENABLED)
   PROPCTL(COMPAT)                         QDEPTHHI(80)
   QDEPTHLO(20)                            QDPHIEV(DISABLED)
   QDPLOEV(DISABLED)                       QDPMAXEV(ENABLED)
   QSVCIEV(NONE)                           QSVCINT(999999999)
   RETINTVL(999999999)                     SCOPE(QMGR)
   SHARE                                   STATQ(QMGR)
   TRIGDATA( )                             TRIGDPTH(1)
   TRIGMPRI(0)                             TRIGTYPE(FIRST)
   USAGE(NORMAL)</t>
  </si>
  <si>
    <t>DISPLAY QLOCAL(VN.CMB.PRD.IN) TYPE(ALL)
    10 : DISPLAY QLOCAL(VN.CMB.PRD.IN) TYPE(ALL)
AMQ8428I: TYPE Keyword has already been specified.
DISPLAY QLOCAL(VN.CMB.PRD.IN) TYPE(ALL)
AMQ8427I: Valid syntax for the MQSC command:
  DISPLAY QLOCAL( generic_q_name )
     [ WHERE( filter_keyword operator filter_value ) ]
     [ CLUSTER( generic_cluster_name ) ] [ CLUSNL( generic_namelist_name ) ]
     [ ALL      ] [ ACCTQ    ] [ ALTDATE  ] [ ALTTIME  ] [ BOQNAME  ]
     [ BOTHRESH ] [ CLCHNAME ] [ CLUSDATE ] [ CLUSINFO ] [ CLUSNL   ]
     [ CLUSQMGR ] [ CLUSQT   ] [ CLUSTER  ] [ CLUSTIME ] [ CLWLPRTY ]
     [ CLWLRANK ] [ CLWLUSEQ ] [ CRDATE   ] [ CRTIME   ] [ CURDEPTH ]
     [ CUSTOM   ] [ DEFBIND  ] [ DEFPRESP ] [ DEFPRTY  ] [ DEFPSIST ]
     [ DEFREADA ] [ DEFSOPT  ] [ DEFTYPE  ] [ DESCR    ] [ DISTL    ]
     [ GET      ] [ HARDENBO ] [ INITQ    ] [ IMGRCOVQ ] [ IPPROCS  ]
     [ MAXDEPTH ] [ MAXMSGL  ] [ MONQ     ] [ MSGDLVSQ ] [ NPMCLASS ]
     [ OPPROCS  ] [ PROCESS  ] [ PROPCTL  ] [ PUT      ] [ QDEPTHHI ]
     [ QDEPTHLO ] [ QDPHIEV  ] [ QDPLOEV  ] [ QDPMAXEV ] [ QMID     ]
     [ QSVCIEV  ] [ QSVCINT  ] [ QTYPE    ] [ RETINTVL ] [ SCOPE    ]
     [ SHARE    ] [ STATQ    ] [ TRIGDATA ] [ TRIGDPTH ] [ TRIGGER  ]
     [ TRIGMPRI ] [ TRIGTYPE ] [ TYPE     ] [ USAGE    ]</t>
  </si>
  <si>
    <t>DISPLAY CONN(*) TYPE(ALL) ALL
    11 : DISPLAY CONN(*) TYPE(ALL) ALL
AMQ8276I: Display Connection details.
   CONN(CCE5626A01F11423)
   EXTCONN(414D5143564E52443031202020202020)
   TYPE(*)
   PID(7276)                               TID(9)
   APPLDESC(IBM MQ Distributed Pub/Sub Publish Task)
   APPLTAG(es\IBM\MQ\bin64\amqzmuf0.exe)   APPLTYPE(SYSTEM)
   ASTATE(NONE)                            CHANNEL( )
   CLIENTID( )                             CONNAME( )
   CONNOPTS(MQCNO_FASTPATH_BINDING)        USERID(prodMqTdh)
   UOWLOG( )                               UOWSTDA(2026-07-24)
   UOWSTTI(11.10.52)                       UOWLOGDA( )
   UOWLOGTI( )                             URTYPE(QMGR)
   EXTURID(XA_FORMATID[] XA_GTRID[] XA_BQUAL[])
   QMURID(0.12289)                         UOWSTATE(ACTIVE)
   OBJNAME(SYSTEM.INTER.QMGR.PUBS)         OBJTYPE(QUEUE)
   ASTATE(NONE)                            HSTATE(ACTIVE)
   OPENOPTS(MQOO_INPUT_SHARED,MQOO_SAVE_ALL_CONTEXT,MQOO_FAIL_IF_QUIESCING)
   READA(NO)
AMQ8276I: Display Connection details.
   CONN(CCE5626A01F21423)
   EXTCONN(414D5143564E52443031202020202020)
   TYPE(*)
   PID(7276)                               TID(7)
   APPLDESC(IBM MQ Distributed Pub/Sub Fan Out Task)
   APPLTAG(es\IBM\MQ\bin64\amqzmuf0.exe)   APPLTYPE(SYSTEM)
   ASTATE(NONE)                            CHANNEL( )
   CLIENTID( )                             CONNAME( )
   CONNOPTS(MQCNO_FASTPATH_BINDING)        USERID(prodMqTdh)
   UOWLOG( )                               UOWSTDA(2026-07-24)
   UOWSTTI(11.10.52)                       UOWLOGDA( )
   UOWLOGTI( )                             URTYPE(QMGR)
   EXTURID(XA_FORMATID[] XA_GTRID[] XA_BQUAL[])
   QMURID(0.16385)                         UOWSTATE(ACTIVE)
   OBJNAME(SYSTEM.INTER.QMGR.FANREQ)       OBJTYPE(QUEUE)
   ASTATE(NONE)                            HSTATE(ACTIVE)
   OPENOPTS(MQOO_INPUT_SHARED,MQOO_OUTPUT,MQOO_SAVE_ALL_CONTEXT,MQOO_FAIL_IF_QUIESCING)
   READA(NO)
AMQ8276I: Display Connection details.
   CONN(CCE5626A01F31423)
   EXTCONN(414D5143564E52443031202020202020)
   TYPE(*)
   PID(7420)                               TID(1)
   APPLDESC(IBM MQ Queued Pub/Sub Controller)
   APPLTAG(es\IBM\MQ\bin64\amqfqpub.exe)   APPLTYPE(SYSTEM)
   ASTATE(NONE)                            CHANNEL( )
   CLIENTID( )                             CONNAME( )
   CONNOPTS(MQCNO_FASTPATH_BINDING)        USERID(prodMqTdh)
   UOWLOG( )                               UOWSTDA( )
   UOWSTTI( )                              UOWLOGDA( )
   UOWLOGTI( )                             URTYPE(QMGR)
   EXTURID(XA_FORMATID[] XA_GTRID[] XA_BQUAL[])
   QMURID(0.0)                             UOWSTATE(NONE)
   OBJNAME(VNRD01)                         OBJTYPE(QMGR)
   ASTATE(NONE)                            HSTATE(INACTIVE)
   OPENOPTS(MQOO_INQUIRE)                  READA(NO)
   OBJNAME(SYSTEM.BROKER.ADMIN.STREAM)     OBJTYPE(QUEUE)
   ASTATE(NONE)                            HSTATE(INACTIVE)
   OPENOPTS(MQOO_OUTPUT,MQOO_SET_ALL_CONTEXT)
   READA(NO)
AMQ8276I: Display Connection details.
   CONN(CCE5626A01F41423)
   EXTCONN(414D5143564E52443031202020202020)
   TYPE(*)
   PID(7420)                               TID(3)
   APPLDESC(IBM MQ Queued Pub/Sub Controller)
   APPLTAG(es\IBM\MQ\bin64\amqfqpub.exe)   APPLTYPE(SYSTEM)
   ASTATE(NONE)                            CHANNEL( )
   CLIENTID( )                             CONNAME( )
   CONNOPTS(MQCNO_FASTPATH_BINDING)        USERID(prodMqTdh)
   UOWLOG( )                               UOWSTDA( )
   UOWSTTI( )                              UOWLOGDA( )
   UOWLOGTI( )                             URTYPE(QMGR)
   EXTURID(XA_FORMATID[] XA_GTRID[] XA_BQUAL[])
   QMURID(0.0)                             UOWSTATE(NONE)
   OBJNAME(SYSTEM.QPUBSUB.QUEUE.NAMELIST)
   OBJTYPE(NAMELIST)                       ASTATE(NONE)
   HSTATE(INACTIVE)                        OPENOPTS(MQOO_INQUIRE)
   READA(NO)
AMQ8276I: Display Connection details.
   CONN(CCE5626A01F61423)
   EXTCONN(414D5143564E52443031202020202020)
   TYPE(*)
   PID(7420)                               TID(4)
   APPLDESC(IBM MQ Queued Pub/Sub Controller)
   APPLTAG(es\IBM\MQ\bin64\amqfqpub.exe)   APPLTYPE(SYSTEM)
   ASTATE(NONE)                            CHANNEL( )
   CLIENTID( )                             CONNAME( )
   CONNOPTS(MQCNO_FASTPATH_BINDING)        USERID(prodMqTdh)
   UOWLOG( )                               UOWSTDA(2026-07-24)
   UOWSTTI(11.10.52)                       UOWLOGDA( )
   UOWLOGTI( )                             URTYPE(QMGR)
   EXTURID(XA_FORMATID[] XA_GTRID[] XA_BQUAL[])
   QMURID(0.12312)                         UOWSTATE(ACTIVE)
   OBJNAME(SYSTEM.BROKER.INTER.BROKER.COMMUNICATIONS)
   OBJTYPE(QUEUE)                          ASTATE(NONE)
   HSTATE(ACTIVE)                          OPENOPTS(MQOO_INPUT_EXCLUSIVE)
   READA(NO)
AMQ8276I: Display Connection details.
   CONN(CCE5626A01F71423)
   EXTCONN(414D5143564E52443031202020202020)
   TYPE(*)
   PID(7440)                               TID(1)
   APPLDESC(IBM MQ Channel Initiator)
   APPLTAG(es\IBM\MQ\bin64\runmqchi.exe)
   APPLTYPE(CHINIT)                        ASTATE(STARTED)
   CHANNEL( )                              CLIENTID( )
   CONNAME( )
   CONNOPTS(MQCNO_HANDLE_SHARE_BLOCK,MQCNO_SHARED_BINDING)
   USERID(prodMqTdh)                       UOWLOG( )
   UOWSTDA( )                              UOWSTTI( )
   UOWLOGDA( )                             UOWLOGTI( )
   URTYPE(QMGR)
   EXTURID(XA_FORMATID[] XA_GTRID[] XA_BQUAL[])
   QMURID(0.0)                             UOWSTATE(NONE)
   OBJNAME(SYSTEM.CHANNEL.INITQ)           OBJTYPE(QUEUE)
   ASTATE(ACTIVE)                          HSTATE(ACTIVE)
   OPENOPTS(MQOO_INPUT_EXCLUSIVE,MQOO_SET,MQOO_FAIL_IF_QUIESCING)
   READA(NO)
AMQ8276I: Display Connection details.
   CONN(CCE5626A01F91423)
   EXTCONN(414D5143564E52443031202020202020)
   TYPE(*)
   PID(5600)                               TID(10)
   APPLDESC(IBM MQ Deferred Message Processor)
   APPLTAG(es\IBM\MQ\bin64\amqzmur0.exe)   APPLTYPE(SYSTEM)
   ASTATE(NONE)                            CHANNEL( )
   CLIENTID( )                             CONNAME( )
   CONNOPTS(MQCNO_SHARED_BINDING)          USERID(prodMqTdh)
   UOWLOG( )                               UOWSTDA( )
   UOWSTTI( )                              UOWLOGDA( )
   UOWLOGTI( )                             URTYPE(QMGR)
   EXTURID(XA_FORMATID[] XA_GTRID[] XA_BQUAL[])
   QMURID(0.0)                             UOWSTATE(NONE)
   OBJNAME(SYSTEM.PENDING.DATA.QUEUE)      OBJTYPE(QUEUE)
   ASTATE(NONE)                            HSTATE(INACTIVE)
   OPENOPTS(MQOO_INPUT_EXCLUSIVE,MQOO_BROWSE,MQOO_OUTPUT,MQOO_INQUIRE)
   READA(NO)
AMQ8276I: Display Connection details.
   CONN(CCE5626A01FB1423)
   EXTCONN(414D5143564E52443031202020202020)
   TYPE(*)
   PID(7484)                               TID(1)
   APPLDESC(IBM MQ Command Server)
   APPLTAG(es\IBM\MQ\bin64\amqpcsea.exe)
   APPLTYPE(SYSTEM)                        ASTATE(NONE)
   CHANNEL( )                              CLIENTID( )
   CONNAME( )                              CONNOPTS(MQCNO_SHARED_BINDING)
   USERID(prodMqTdh)                       UOWLOG( )
   UOWSTDA( )                              UOWSTTI( )
   UOWLOGDA( )                             UOWLOGTI( )
   URTYPE(QMGR)
   EXTURID(XA_FORMATID[] XA_GTRID[] XA_BQUAL[])
   QMURID(0.0)                             UOWSTATE(NONE)
   OBJNAME(SYSTEM.ADMIN.COMMAND.QUEUE)     OBJTYPE(QUEUE)
   ASTATE(NONE)                            HSTATE(ACTIVE)
   OPENOPTS(MQOO_INPUT_EXCLUSIVE,MQOO_INQUIRE,MQOO_SAVE_ALL_CONTEXT)
   READA(NO)
AMQ8276I: Display Connection details.
   CONN(CCE5626A01FD1423)
   EXTCONN(414D5143564E52443031202020202020)
   TYPE(*)
   PID(5600)                               TID(9)
   APPLDESC(IBM MQ Delayed Delivery Processor)
   APPLTAG(es\IBM\MQ\bin64\amqzmur0.exe)   APPLTYPE(SYSTEM)
   ASTATE(NONE)                            CHANNEL( )
   CLIENTID( )                             CONNAME( )
   CONNOPTS(MQCNO_SHARED_BINDING)          USERID(prodMqTdh)
   UOWLOG( )                               UOWSTDA( )
   UOWSTTI( )                              UOWLOGDA( )
   UOWLOGTI( )                             URTYPE(QMGR)
   EXTURID(XA_FORMATID[] XA_GTRID[] XA_BQUAL[])
   QMURID(0.0)                             UOWSTATE(NONE)
   OBJNAME(SYSTEM.DDELAY.LOCAL.QUEUE)      OBJTYPE(QUEUE)
   ASTATE(NONE)                            HSTATE(ACTIVE)
   OPENOPTS(MQOO_BROWSE)                   READA(NO)
   OBJNAME(SYSTEM.DDELAY.LOCAL.QUEUE)      OBJTYPE(QUEUE)
   ASTATE(NONE)                            HSTATE(INACTIVE)
   OPENOPTS(MQOO_INPUT_EXCLUSIVE)          READA(NO)
AMQ8276I: Display Connection details.
   CONN(CCE5626A01FE1423)
   EXTCONN(414D5143564E52443031202020202020)
   TYPE(*)
   PID(7568)                               TID(1)
   APPLDESC(IBM MQ Queued Pub/Sub Worker)
   APPLTAG(es\IBM\MQ\bin64\amqfcxba.exe)   APPLTYPE(SYSTEM)
   ASTATE(NONE)                            CHANNEL( )
   CLIENTID( )                             CONNAME( )
   CONNOPTS(MQCNO_FASTPATH_BINDING)        USERID(prodMqTdh)
   UOWLOG( )                               UOWSTDA( )
   UOWSTTI( )                              UOWLOGDA( )
   UOWLOGTI( )                             URTYPE(QMGR)
   EXTURID(XA_FORMATID[] XA_GTRID[] XA_BQUAL[])
   QMURID(0.0)                             UOWSTATE(NONE)
AMQ8276I: Display Connection details.
   CONN(CCE5626A01FF1423)
   EXTCONN(414D5143564E52443031202020202020)
   TYPE(*)
   PID(7568)                               TID(3)
   APPLDESC(IBM MQ Queued Pub/Sub Worker)
   APPLTAG(es\IBM\MQ\bin64\amqfcxba.exe)   APPLTYPE(SYSTEM)
   ASTATE(NONE)                            CHANNEL( )
   CLIENTID( )                             CONNAME( )
   CONNOPTS(MQCNO_FASTPATH_BINDING)        USERID(prodMqTdh)
   UOWLOG( )                               UOWSTDA( )
   UOWSTTI( )                              UOWLOGDA( )
   UOWLOGTI( )                             URTYPE(QMGR)
   EXTURID(XA_FORMATID[] XA_GTRID[] XA_BQUAL[])
   QMURID(0.0)                             UOWSTATE(NONE)
   OBJNAME(SYSTEM.BROKER.CONTROL.QUEUE)    OBJTYPE(QUEUE)
   ASTATE(NONE)                            HSTATE(ACTIVE)
   OPENOPTS(MQOO_BROWSE,MQOO_FAIL_IF_QUIESCING)
   READA(NO)
AMQ8276I: Display Connection details.
   CONN(CCE5626A01001523)
   EXTCONN(414D5143564E52443031202020202020)
   TYPE(*)
   PID(7568)                               TID(6)
   APPLDESC(IBM MQ Queued Pub/Sub Worker)
   APPLTAG(es\IBM\MQ\bin64\amqfcxba.exe)   APPLTYPE(SYSTEM)
   ASTATE(NONE)                            CHANNEL( )
   CLIENTID( )                             CONNAME( )
   CONNOPTS(MQCNO_FASTPATH_BINDING)        USERID(prodMqTdh)
   UOWLOG( )                               UOWSTDA( )
   UOWSTTI( )                              UOWLOGDA( )
   UOWLOGTI( )                             URTYPE(QMGR)
   EXTURID(XA_FORMATID[] XA_GTRID[] XA_BQUAL[])
   QMURID(0.0)                             UOWSTATE(NONE)
   OBJNAME(SYSTEM.BROKER.CONTROL.QUEUE)    OBJTYPE(QUEUE)
   ASTATE(NONE)                            HSTATE(INACTIVE)
   OPENOPTS(MQOO_INPUT_SHARED,MQOO_FAIL_IF_QUIESCING)
   READA(NO)
AMQ8276I: Display Connection details.
   CONN(CCE5626A0101D623)
   EXTCONN(414D5143564E52443031202020202020)
   TYPE(*)
   PID(14840)                              TID(1)
   APPLDESC(IBM MQ Script Command Processor)
   APPLTAG(les\IBM\MQ\bin64\runmqsc.exe)   APPLTYPE(SYSTEM)
   ASTATE(STOPPED)                         CHANNEL( )
   CLIENTID( )                             CONNAME( )
   CONNOPTS(MQCNO_SHARED_BINDING)          USERID(Administrato)
   UOWLOG( )                               UOWSTDA( )
   UOWSTTI( )                              UOWLOGDA( )
   UOWLOGTI( )                             URTYPE(QMGR)
   EXTURID(XA_FORMATID[] XA_GTRID[] XA_BQUAL[])
   QMURID(0.0)                             UOWSTATE(NONE)
AMQ8276I: Display Connection details.
   CONN(CCE5626A01011523)
   EXTCONN(414D5143564E52443031202020202020)
   TYPE(*)
   PID(7568)                               TID(4)
   APPLDESC(IBM MQ Queued Pub/Sub Worker)
   APPLTAG(es\IBM\MQ\bin64\amqfcxba.exe)   APPLTYPE(SYSTEM)
   ASTATE(NONE)                            CHANNEL( )
   CLIENTID( )                             CONNAME( )
   CONNOPTS(MQCNO_FASTPATH_BINDING)        USERID(prodMqTdh)
   UOWLOG( )                               UOWSTDA( )
   UOWSTTI( )                              UOWLOGDA( )
   UOWLOGTI( )                             URTYPE(QMGR)
   EXTURID(XA_FORMATID[] XA_GTRID[] XA_BQUAL[])
   QMURID(0.0)                             UOWSTATE(NONE)
   OBJNAME(SYSTEM.BROKER.CONTROL.QUEUE)    OBJTYPE(QUEUE)
   ASTATE(NONE)                            HSTATE(INACTIVE)
   OPENOPTS(MQOO_INPUT_SHARED,MQOO_FAIL_IF_QUIESCING)
   READA(NO)
AMQ8276I: Display Connection details.
   CONN(CCE5626A01021523)
   EXTCONN(414D5143564E52443031202020202020)
   TYPE(*)
   PID(7568)                               TID(5)
   APPLDESC(IBM MQ Queued Pub/Sub Worker)
   APPLTAG(es\IBM\MQ\bin64\amqfcxba.exe)   APPLTYPE(SYSTEM)
   ASTATE(NONE)                            CHANNEL( )
   CLIENTID( )                             CONNAME( )
   CONNOPTS(MQCNO_FASTPATH_BINDING)        USERID(prodMqTdh)
   UOWLOG( )                               UOWSTDA( )
   UOWSTTI( )                              UOWLOGDA( )
   UOWLOGTI( )                             URTYPE(QMGR)
   EXTURID(XA_FORMATID[] XA_GTRID[] XA_BQUAL[])
   QMURID(0.0)                             UOWSTATE(NONE)
   OBJNAME(SYSTEM.BROKER.CONTROL.QUEUE)    OBJTYPE(QUEUE)
   ASTATE(NONE)                            HSTATE(INACTIVE)
   OPENOPTS(MQOO_INPUT_SHARED,MQOO_FAIL_IF_QUIESCING)
   READA(NO)
AMQ8276I: Display Connection details.
   CONN(CCE5626A01E21423)
   EXTCONN(414D5143564E52443031202020202020)
   TYPE(*)
   PID(7088)                               TID(1)
   APPLDESC(IBM MQ Object Authority Manager)
   APPLTAG(es\IBM\MQ\bin64\amqzfuma.exe)   APPLTYPE(SYSTEM)
   ASTATE(NONE)                            CHANNEL( )
   CLIENTID( )                             CONNAME( )
   CONNOPTS(MQCNO_FASTPATH_BINDING)        USERID(prodMqTdh)
   UOWLOG( )                               UOWSTDA( )
   UOWSTTI( )                              UOWLOGDA( )
   UOWLOGTI( )                             URTYPE(QMGR)
   EXTURID(XA_FORMATID[] XA_GTRID[] XA_BQUAL[])
   QMURID(0.0)                             UOWSTATE(NONE)
   OBJNAME(SYSTEM.AUTH.DATA.QUEUE)         OBJTYPE(QUEUE)
   ASTATE(NONE)                            HSTATE(INACTIVE)
   OPENOPTS(MQOO_INPUT_EXCLUSIVE,MQOO_BROWSE,MQOO_OUTPUT,MQOO_SET,MQOO_FAIL_IF_QUIESCING)
   READA(NO)
AMQ8276I: Display Connection details.
   CONN(CCE5626A01031523)
   EXTCONN(414D5143564E52443031202020202020)
   TYPE(*)
   PID(7568)                               TID(7)
   APPLDESC(IBM MQ Queued Pub/Sub Worker)
   APPLTAG(es\IBM\MQ\bin64\amqfcxba.exe)   APPLTYPE(SYSTEM)
   ASTATE(NONE)                            CHANNEL( )
   CLIENTID( )                             CONNAME( )
   CONNOPTS(MQCNO_FASTPATH_BINDING)        USERID(prodMqTdh)
   UOWLOG( )                               UOWSTDA(2026-07-24)
   UOWSTTI(11.10.52)                       UOWLOGDA( )
   UOWLOGTI( )                             URTYPE(QMGR)
   EXTURID(XA_FORMATID[] XA_GTRID[] XA_BQUAL[])
   QMURID(0.12316)                         UOWSTATE(ACTIVE)
   OBJNAME(SYSTEM.BROKER.ADMIN.STREAM)     OBJTYPE(QUEUE)
   ASTATE(NONE)                            HSTATE(ACTIVE)
   OPENOPTS(MQOO_INPUT_SHARED,MQOO_SAVE_ALL_CONTEXT)
   READA(NO)
AMQ8276I: Display Connection details.
   CONN(CCE5626A01E31423)
   EXTCONN(414D5143564E52443031202020202020)
   TYPE(*)
   PID(7312)                               TID(1)
   APPLDESC(IBM MQ Cluster Repository)
   APPLTAG(es\IBM\MQ\bin64\amqrrmfa.exe)
   APPLTYPE(SYSTEM)                        ASTATE(NONE)
   CHANNEL( )                              CLIENTID( )
   CONNAME( )                              CONNOPTS(MQCNO_FASTPATH_BINDING)
   USERID(prodMqTdh)                       UOWLOG( )
   UOWSTDA(2026-07-24)                     UOWSTTI(11.10.52)
   UOWLOGDA( )                             UOWLOGTI( )
   URTYPE(QMGR)
   EXTURID(XA_FORMATID[] XA_GTRID[] XA_BQUAL[])
   QMURID(0.4097)                          UOWSTATE(ACTIVE)
   OBJNAME(SYSTEM.CLUSTER.COMMAND.QUEUE)   OBJTYPE(QUEUE)
   ASTATE(NONE)                            HSTATE(ACTIVE)
   OPENOPTS(MQOO_INPUT_EXCLUSIVE,MQOO_INQUIRE,MQOO_SET)
   READA(NO)
   OBJNAME(SYSTEM.CLUSTER.REPOSITORY.QUEUE)
   OBJTYPE(QUEUE)                          ASTATE(NONE)
   HSTATE(INACTIVE)
   OPENOPTS(MQOO_INPUT_EXCLUSIVE,MQOO_BROWSE,MQOO_OUTPUT)
   READA(NO)
AMQ8276I: Display Connection details.
   CONN(CCE5626A01041523)
   EXTCONN(414D5143564E52443031202020202020)
   TYPE(*)
   PID(7568)                               TID(8)
   APPLDESC(IBM MQ Queued Pub/Sub Worker)
   APPLTAG(es\IBM\MQ\bin64\amqfcxba.exe)   APPLTYPE(SYSTEM)
   ASTATE(NONE)                            CHANNEL( )
   CLIENTID( )                             CONNAME( )
   CONNOPTS(MQCNO_FASTPATH_BINDING)        USERID(prodMqTdh)
   UOWLOG( )                               UOWSTDA(2026-07-24)
   UOWSTTI(11.10.52)                       UOWLOGDA( )
   UOWLOGTI( )                             URTYPE(QMGR)
   EXTURID(XA_FORMATID[] XA_GTRID[] XA_BQUAL[])
   QMURID(0.16386)                         UOWSTATE(ACTIVE)
   OBJNAME(SYSTEM.BROKER.DEFAULT.STREAM)   OBJTYPE(QUEUE)
   ASTATE(NONE)                            HSTATE(ACTIVE)
   OPENOPTS(MQOO_INPUT_SHARED,MQOO_SAVE_ALL_CONTEXT)
   READA(NO)
AMQ8276I: Display Connection details.
   CONN(CCE5626A01061523)
   EXTCONN(414D5143564E52443031202020202020)
   TYPE(*)
   PID(12304)                              TID(5)
   APPLDESC( )                             APPLTAG(IBM MQ Client for Java)
   APPLTYPE(USER)                          ASTATE(NONE)
   CHANNEL( )                              CLIENTID( )
   CONNAME( )
   CONNOPTS(MQCNO_HANDLE_SHARE_BLOCK,MQCNO_ISOLATED_BINDING)
   USERID(Administrato)                    UOWLOG( )
   UOWSTDA( )                              UOWSTTI( )
   UOWLOGDA( )                             UOWLOGTI( )
   URTYPE(QMGR)
   EXTURID(XA_FORMATID[] XA_GTRID[] XA_BQUAL[])
   QMURID(0.0)                             UOWSTATE(NONE)
   OBJNAME(VNRD01)                         OBJTYPE(QMGR)
   ASTATE(NONE)                            HSTATE(INACTIVE)
   OPENOPTS(MQOO_INQUIRE)                  READA(NO)
   OBJNAME(SYSTEM.ADMIN.COMMAND.QUEUE)     OBJTYPE(QUEUE)
   ASTATE(NONE)                            HSTATE(INACTIVE)
   OPENOPTS(MQOO_OUTPUT,MQOO_INQUIRE,MQOO_FAIL_IF_QUIESCING)
   READA(NO)
   OBJNAME(AMQ.MQEXPLORER.6A62E5CC23150603)
   OBJTYPE(QUEUE)                          ASTATE(NONE)
   HSTATE(INACTIVE)
   OPENOPTS(MQOO_INPUT_EXCLUSIVE,MQOO_FAIL_IF_QUIESCING)
   READA(NO)
AMQ8276I: Display Connection details.
   CONN(CCE5626A01E81423)
   EXTCONN(414D5143564E52443031202020202020)
   TYPE(*)
   PID(7276)                               TID(3)
   APPLDESC(IBM MQ Queued Pub/Sub Initiator)
   APPLTAG(es\IBM\MQ\bin64\amqzmuf0.exe)   APPLTYPE(SYSTEM)
   ASTATE(NONE)                            CHANNEL( )
   CLIENTID( )                             CONNAME( )
   CONNOPTS(MQCNO_FASTPATH_BINDING)        USERID(prodMqTdh)
   UOWLOG( )                               UOWSTDA( )
   UOWSTTI( )                              UOWLOGDA( )
   UOWLOGTI( )                             URTYPE(QMGR)
   EXTURID(XA_FORMATID[] XA_GTRID[] XA_BQUAL[])
   QMURID(0.0)                             UOWSTATE(NONE)
   OBJNAME(VNRD01)                         OBJTYPE(QMGR)
   ASTATE(NONE)                            HSTATE(INACTIVE)
   OPENOPTS(MQOO_INQUIRE)                  READA(NO)
AMQ8276I: Display Connection details.
   CONN(CCE5626A020B1523)
   EXTCONN(414D5143564E52443031202020202020)
   TYPE(*)
   PID(3040)                               TID(8)
   APPLDESC(IBM MQ Channel)
   APPLTAG(YarnCoarseGrainedExecutorBac)
   APPLTYPE(USER)                          ASTATE(NONE)
   CHANNEL(APP)                            CLIENTID( )
   CONNAME(10.111.13.18)
   CONNOPTS(MQCNO_HANDLE_SHARE_BLOCK,MQCNO_SHARED_BINDING)
   USERID(prodMqTdh)                       UOWLOG( )
   UOWSTDA( )                              UOWSTTI( )
   UOWLOGDA( )                             UOWLOGTI( )
   URTYPE(QMGR)
   EXTURID(XA_FORMATID[] XA_GTRID[] XA_BQUAL[])
   QMURID(0.0)                             UOWSTATE(NONE)
   OBJNAME(VNRD01)                         OBJTYPE(QMGR)
   ASTATE(NONE)                            HSTATE(INACTIVE)
   OPENOPTS(MQOO_INQUIRE)                  READA(NO)
   OBJNAME(VN.SKD.PRD.IN)                  OBJTYPE(QUEUE)
   ASTATE(NONE)                            HSTATE(INACTIVE)
   OPENOPTS(MQOO_INPUT_SHARED,MQOO_BROWSE,MQOO_FAIL_IF_QUIESCING)
   READA(NO)
AMQ8276I: Display Connection details.
   CONN(CCE5626A010D1523)
   EXTCONN(414D5143564E52443031202020202020)
   TYPE(*)
   PID(3040)                               TID(4)
   APPLDESC(IBM MQ Channel)
   APPLTAG(YarnCoarseGrainedExecutorBac)
   APPLTYPE(USER)                          ASTATE(NONE)
   CHANNEL(APP)                            CLIENTID( )
   CONNAME(10.111.13.16)
   CONNOPTS(MQCNO_HANDLE_SHARE_BLOCK,MQCNO_SHARED_BINDING)
   USERID(prodMqTdh)                       UOWLOG( )
   UOWSTDA( )                              UOWSTTI( )
   UOWLOGDA( )                             UOWLOGTI( )
   URTYPE(QMGR)
   EXTURID(XA_FORMATID[] XA_GTRID[] XA_BQUAL[])
   QMURID(0.0)                             UOWSTATE(NONE)
   OBJNAME(VNRD01)                         OBJTYPE(QMGR)
   ASTATE(NONE)                            HSTATE(INACTIVE)
   OPENOPTS(MQOO_INQUIRE)                  READA(NO)
   OBJNAME(VN.PNR.PRD.IN)                  OBJTYPE(QUEUE)
   ASTATE(NONE)                            HSTATE(INACTIVE)
   OPENOPTS(MQOO_INPUT_SHARED,MQOO_BROWSE,MQOO_FAIL_IF_QUIESCING)
   READA(NO)
AMQ8276I: Display Connection details.
   CONN(CCE5626A010E1523)
   EXTCONN(414D5143564E52443031202020202020)
   TYPE(*)
   PID(3040)                               TID(5)
   APPLDESC(IBM MQ Channel)
   APPLTAG(YarnCoarseGrainedExecutorBac)
   APPLTYPE(USER)                          ASTATE(NONE)
   CHANNEL(APP)                            CLIENTID( )
   CONNAME(10.111.13.18)
   CONNOPTS(MQCNO_HANDLE_SHARE_BLOCK,MQCNO_SHARED_BINDING)
   USERID(prodMqTdh)                       UOWLOG( )
   UOWSTDA( )                              UOWSTTI( )
   UOWLOGDA( )                             UOWLOGTI( )
   URTYPE(QMGR)
   EXTURID(XA_FORMATID[] XA_GTRID[] XA_BQUAL[])
   QMURID(0.0)                             UOWSTATE(NONE)
   OBJNAME(VNRD01)                         OBJTYPE(QMGR)
   ASTATE(NONE)                            HSTATE(INACTIVE)
   OPENOPTS(MQOO_INQUIRE)                  READA(NO)
   OBJNAME(VN.TKT.PRD.IN)                  OBJTYPE(QUEUE)
   ASTATE(NONE)                            HSTATE(INACTIVE)
   OPENOPTS(MQOO_INPUT_SHARED,MQOO_BROWSE,MQOO_FAIL_IF_QUIESCING)
   READA(NO)
AMQ8276I: Display Connection details.
   CONN(CCE5626A01EE1423)
   EXTCONN(414D5143564E52443031202020202020)
   TYPE(*)
   PID(7152)                               TID(30)
   APPLDESC(IBM MQ Resource Monitor Task)
   APPLTAG(es\IBM\MQ\bin64\amqzmuc0.exe)   APPLTYPE(SYSTEM)
   ASTATE(NONE)                            CHANNEL( )
   CLIENTID( )                             CONNAME( )
   CONNOPTS(MQCNO_FASTPATH_BINDING)        USERID(prodMqTdh)
   UOWLOG( )                               UOWSTDA( )
   UOWSTTI( )                              UOWLOGDA( )
   UOWLOGTI( )                             URTYPE(QMGR)
   EXTURID(XA_FORMATID[] XA_GTRID[] XA_BQUAL[])
   QMURID(0.0)                             UOWSTATE(NONE)
   OBJNAME( )                              OBJTYPE(TOPIC)
   ASTATE(NONE)                            HSTATE(INACTIVE)
   OPENOPTS(MQOO_OUTPUT,MQOO_FAIL_IF_QUIESCING)
   READA(NO)
   TOPICSTR($SYS/MQ/INFO/QMGR/VNRD01/Monitor/CPU/SystemSummary)
   OBJNAME( )                              OBJTYPE(TOPIC)
   ASTATE(NONE)                            HSTATE(INACTIVE)
   OPENOPTS(MQOO_OUTPUT,MQOO_FAIL_IF_QUIESCING)
   READA(NO)
   TOPICSTR($SYS/MQ/INFO/QMGR/VNRD01/Monitor/CPU/QMgrSummary)
   OBJNAME( )                              OBJTYPE(TOPIC)
   ASTATE(NONE)                            HSTATE(INACTIVE)
   OPENOPTS(MQOO_OUTPUT,MQOO_FAIL_IF_QUIESCING)
   READA(NO)
   TOPICSTR($SYS/MQ/INFO/QMGR/VNRD01/Monitor/DISK/SystemSummary)
   OBJNAME( )                              OBJTYPE(TOPIC)
   ASTATE(NONE)                            HSTATE(INACTIVE)
   OPENOPTS(MQOO_OUTPUT,MQOO_FAIL_IF_QUIESCING)
   READA(NO)
   TOPICSTR($SYS/MQ/INFO/QMGR/VNRD01/Monitor/DISK/QMgrSummary)
   OBJNAME( )                              OBJTYPE(TOPIC)
   ASTATE(NONE)                            HSTATE(INACTIVE)
   OPENOPTS(MQOO_OUTPUT,MQOO_FAIL_IF_QUIESCING)
   READA(NO)
   TOPICSTR($SYS/MQ/INFO/QMGR/VNRD01/Monitor/DISK/Log)
   OBJNAME( )                              OBJTYPE(TOPIC)
   ASTATE(NONE)                            HSTATE(INACTIVE)
   OPENOPTS(MQOO_OUTPUT,MQOO_FAIL_IF_QUIESCING)
   READA(NO)
   TOPICSTR($SYS/MQ/INFO/QMGR/VNRD01/Monitor/STATMQI/CONNDISC)
   OBJNAME( )                              OBJTYPE(TOPIC)
   ASTATE(NONE)                            HSTATE(INACTIVE)
   OPENOPTS(MQOO_OUTPUT,MQOO_FAIL_IF_QUIESCING)
   READA(NO)
   TOPICSTR($SYS/MQ/INFO/QMGR/VNRD01/Monitor/STATMQI/OPENCLOSE)
   OBJNAME( )                              OBJTYPE(TOPIC)
   ASTATE(NONE)                            HSTATE(INACTIVE)
   OPENOPTS(MQOO_OUTPUT,MQOO_FAIL_IF_QUIESCING)
   READA(NO)
   TOPICSTR($SYS/MQ/INFO/QMGR/VNRD01/Monitor/STATMQI/INQSET)
   OBJNAME( )                              OBJTYPE(TOPIC)
   ASTATE(NONE)                            HSTATE(INACTIVE)
   OPENOPTS(MQOO_OUTPUT,MQOO_FAIL_IF_QUIESCING)
   READA(NO)
   TOPICSTR($SYS/MQ/INFO/QMGR/VNRD01/Monitor/STATMQI/PUT)
   OBJNAME( )                              OBJTYPE(TOPIC)
   ASTATE(NONE)                            HSTATE(INACTIVE)
   OPENOPTS(MQOO_OUTPUT,MQOO_FAIL_IF_QUIESCING)
   READA(NO)
   TOPICSTR($SYS/MQ/INFO/QMGR/VNRD01/Monitor/STATMQI/GET)
   OBJNAME( )                              OBJTYPE(TOPIC)
   ASTATE(NONE)                            HSTATE(INACTIVE)
   OPENOPTS(MQOO_OUTPUT,MQOO_FAIL_IF_QUIESCING)
   READA(NO)
   TOPICSTR($SYS/MQ/INFO/QMGR/VNRD01/Monitor/STATMQI/SYNCPOINT)
   OBJNAME( )                              OBJTYPE(TOPIC)
   ASTATE(NONE)                            HSTATE(INACTIVE)
   OPENOPTS(MQOO_OUTPUT,MQOO_FAIL_IF_QUIESCING)
   READA(NO)
   TOPICSTR($SYS/MQ/INFO/QMGR/VNRD01/Monitor/STATMQI/SUBSCRIBE)
   OBJNAME( )                              OBJTYPE(TOPIC)
   ASTATE(NONE)                            HSTATE(INACTIVE)
   OPENOPTS(MQOO_OUTPUT,MQOO_FAIL_IF_QUIESCING)
   READA(NO)
   TOPICSTR($SYS/MQ/INFO/QMGR/VNRD01/Monitor/STATMQI/PUBLISH)
AMQ8276I: Display Connection details.
   CONN(CCE5626A010F1523)
   EXTCONN(414D5143564E52443031202020202020)
   TYPE(*)
   PID(3040)                               TID(6)
   APPLDESC(IBM MQ Channel)
   APPLTAG(YarnCoarseGrainedExecutorBac)
   APPLTYPE(USER)                          ASTATE(NONE)
   CHANNEL(APP)                            CLIENTID( )
   CONNAME(10.111.13.18)
   CONNOPTS(MQCNO_HANDLE_SHARE_BLOCK,MQCNO_SHARED_BINDING)
   USERID(prodMqTdh)                       UOWLOG( )
   UOWSTDA( )                              UOWSTTI( )
   UOWLOGDA( )                             UOWLOGTI( )
   URTYPE(QMGR)
   EXTURID(XA_FORMATID[] XA_GTRID[] XA_BQUAL[])
   QMURID(0.0)                             UOWSTATE(NONE)
   OBJNAME(VNRD01)                         OBJTYPE(QMGR)
   ASTATE(NONE)                            HSTATE(INACTIVE)
   OPENOPTS(MQOO_INQUIRE)                  READA(NO)
   OBJNAME(VN.CMP.PRD.IN)                  OBJTYPE(QUEUE)
   ASTATE(NONE)                            HSTATE(INACTIVE)
   OPENOPTS(MQOO_INPUT_SHARED,MQOO_BROWSE,MQOO_FAIL_IF_QUIESCING)
   READA(NO)
AMQ8276I: Display Connection details.
   CONN(CCE5626A02101523)
   EXTCONN(414D5143564E52443031202020202020)
   TYPE(*)
   PID(3040)                               TID(9)
   APPLDESC(IBM MQ Channel)
   APPLTAG(YarnCoarseGrainedExecutorBac)
   APPLTYPE(USER)                          ASTATE(NONE)
   CHANNEL(APP)                            CLIENTID( )
   CONNAME(10.111.13.17)
   CONNOPTS(MQCNO_HANDLE_SHARE_BLOCK,MQCNO_SHARED_BINDING)
   USERID(prodMqTdh)                       UOWLOG( )
   UOWSTDA( )                              UOWSTTI( )
   UOWLOGDA( )                             UOWLOGTI( )
   URTYPE(QMGR)
   EXTURID(XA_FORMATID[] XA_GTRID[] XA_BQUAL[])
   QMURID(0.0)                             UOWSTATE(NONE)
   OBJNAME(VNRD01)                         OBJTYPE(QMGR)
   ASTATE(NONE)                            HSTATE(INACTIVE)
   OPENOPTS(MQOO_INQUIRE)                  READA(NO)
   OBJNAME(VN.CMB.PRD.IN)                  OBJTYPE(QUEUE)
   ASTATE(NONE)                            HSTATE(INACTIVE)
   OPENOPTS(MQOO_INPUT_SHARED,MQOO_BROWSE,MQOO_FAIL_IF_QUIESCING)
   READA(NO)
AMQ8276I: Display Connection details.
   CONN(CCE5626A01EF1423)
   EXTCONN(414D5143564E52443031202020202020)
   TYPE(*)
   PID(7276)                               TID(6)
   APPLDESC(IBM MQ Distributed Pub/Sub Controller)
   APPLTAG(es\IBM\MQ\bin64\amqzmuf0.exe)   APPLTYPE(SYSTEM)
   ASTATE(NONE)                            CHANNEL( )
   CLIENTID( )                             CONNAME( )
   CONNOPTS(MQCNO_FASTPATH_BINDING)        USERID(prodMqTdh)
   UOWLOG( )                               UOWSTDA( )
   UOWSTTI( )                              UOWLOGDA( )
   UOWLOGTI( )                             URTYPE(QMGR)
   EXTURID(XA_FORMATID[] XA_GTRID[] XA_BQUAL[])
   QMURID(0.0)                             UOWSTATE(NONE)
   OBJNAME(VNRD01)                         OBJTYPE(QMGR)
   ASTATE(NONE)                            HSTATE(INACTIVE)
   OPENOPTS(MQOO_INQUIRE)                  READA(NO)
AMQ8276I: Display Connection details.
   CONN(CCE5626A01F01423)
   EXTCONN(414D5143564E52443031202020202020)
   TYPE(*)
   PID(7276)                               TID(8)
   APPLDESC(IBM MQ Distributed Pub/Sub Command Task)
   APPLTAG(es\IBM\MQ\bin64\amqzmuf0.exe)   APPLTYPE(SYSTEM)
   ASTATE(NONE)                            CHANNEL( )
   CLIENTID( )                             CONNAME( )
   CONNOPTS(MQCNO_FASTPATH_BINDING)        USERID(prodMqTdh)
   UOWLOG( )                               UOWSTDA(2026-07-24)
   UOWSTTI(11.10.52)                       UOWLOGDA( )
   UOWLOGTI( )                             URTYPE(QMGR)
   EXTURID(XA_FORMATID[] XA_GTRID[] XA_BQUAL[])
   QMURID(0.8192)                          UOWSTATE(ACTIVE)
   OBJNAME(SYSTEM.INTER.QMGR.CONTROL)      OBJTYPE(QUEUE)
   ASTATE(NONE)                            HSTATE(ACTIVE)
   OPENOPTS(MQOO_INPUT_SHARED,MQOO_SAVE_ALL_CONTEXT,MQOO_FAIL_IF_QUIESCING)
   READA(NO)</t>
  </si>
  <si>
    <t>display channel(*) all
    12 : display channel(*) all
AMQ8414I: Display Channel details.
   CHANNEL(1A.CLUSP_VNRD01)                CHLTYPE(RCVR)
   ALTDATE(2026-03-30)                     ALTTIME(16.34.58)
   BATCHSZ(100)                            CERTLABL( )
   COMPHDR(NONE)                           COMPMSG(ZLIBFAST,NONE)
   DESCR( )                                HBINT(20)
   KAINT(AUTO)                             MAXMSGL(4194304)
   MCAUSER( )                              MONCHL(QMGR)
   MRDATA( )                               MREXIT( )
   MRRTY(10)                               MRTMR(1000)
   MSGDATA( )                              MSGEXIT( )
   NPMSPEED(FAST)                          PUTAUT(DEF)
   RCVDATA( )                              RCVEXIT( )
   RESETSEQ(NO)                            SCYDATA( )
   SCYEXIT( )                              SENDDATA( )
   SENDEXIT( )                             SEQWRAP(999999999)
   SSLCAUTH(REQUIRED)                      SSLCIPH( )
   SSLPEER( )                              STATCHL(QMGR)
   TRPTYPE(TCP)                            USEDLQ(YES)
AMQ8414I: Display Channel details.
   CHANNEL(APP)                            CHLTYPE(SVRCONN)
   ALTDATE(2026-03-16)                     ALTTIME(17.21.52)
   CERTLABL( )                             COMPHDR(NONE)
   COMPMSG(NONE)                           DESCR( )
   DISCINT(0)                              HBINT(20)
   KAINT(AUTO)                             MAXINST(999999999)
   MAXINSTC(999999999)                     MAXMSGL(4194304)
   MCAUSER(prodMqTdh)                      MONCHL(QMGR)
   RCVDATA( )                              RCVEXIT( )
   SCYDATA( )                              SCYEXIT( )
   SENDDATA( )                             SENDEXIT( )
   SHARECNV(10)                            SSLCAUTH(REQUIRED)
   SSLCIPH( )                              SSLPEER( )
   TRPTYPE(TCP)
AMQ8414I: Display Channel details.
   CHANNEL(SYSTEM.AUTO.RECEIVER)           CHLTYPE(RCVR)
   ALTDATE(2026-03-16)                     ALTTIME(17.03.51)
   BATCHSZ(50)                             CERTLABL( )
   COMPHDR(NONE)                           COMPMSG(NONE)
   DESCR(Auto-defined by)                  HBINT(300)
   KAINT(AUTO)                             MAXMSGL(4194304)
   MCAUSER( )                              MONCHL(QMGR)
   MRDATA( )                               MREXIT( )
   MRRTY(10)                               MRTMR(1000)
   MSGDATA( )                              MSGEXIT( )
   NPMSPEED(FAST)                          PUTAUT(DEF)
   RCVDATA( )                              RCVEXIT( )
   RESETSEQ(NO)                            SCYDATA( )
   SCYEXIT( )                              SENDDATA( )
   SENDEXIT( )                             SEQWRAP(999999999)
   SSLCAUTH(REQUIRED)                      SSLCIPH( )
   SSLPEER( )                              STATCHL(QMGR)
   TRPTYPE(TCP)                            USEDLQ(YES)
AMQ8414I: Display Channel details.
   CHANNEL(SYSTEM.AUTO.SVRCONN)            CHLTYPE(SVRCONN)
   ALTDATE(2026-03-16)                     ALTTIME(17.03.51)
   CERTLABL( )                             COMPHDR(NONE)
   COMPMSG(NONE)                           DESCR(Auto-defined by)
   DISCINT(0)                              HBINT(300)
   KAINT(AUTO)                             MAXINST(999999999)
   MAXINSTC(999999999)                     MAXMSGL(4194304)
   MCAUSER( )                              MONCHL(QMGR)
   RCVDATA( )                              RCVEXIT( )
   SCYDATA( )                              SCYEXIT( )
   SENDDATA( )                             SENDEXIT( )
   SHARECNV(10)                            SSLCAUTH(REQUIRED)
   SSLCIPH( )                              SSLPEER( )
   TRPTYPE(TCP)
AMQ8414I: Display Channel details.
   CHANNEL(SYSTEM.DEF.AMQP)                CHLTYPE(AMQP)
   ALTDATE(2026-03-16)                     ALTTIME(17.03.52)
   CERTLABL( )                             DESCR( )
   AMQPKA(AUTO)                            LOCLADDR( )
   MAXINST(999999999)                      MAXMSGL(4194304)
   MCAUSER( )                              PORT(5672)
   SSLCAUTH(REQUIRED)                      SSLCIPH( )
   SSLPEER( )                              TPROOT(SYSTEM.BASE.TOPIC)
   USECLTID(NO)
AMQ8414I: Display Channel details.
   CHANNEL(SYSTEM.DEF.CLUSRCVR)            CHLTYPE(CLUSRCVR)
   ALTDATE(2026-03-16)                     ALTTIME(17.03.51)
   BATCHHB(0)                              BATCHINT(0)
   BATCHLIM(5000)                          BATCHSZ(50)
   CERTLABL( )                             CLUSNL( )
   CLUSTER( )                              CLWLPRTY(0)
   CLWLRANK(0)                             CLWLWGHT(50)
   COMPHDR(NONE)                           COMPMSG(NONE)
   CONNAME( )                              CONVERT(NO)
   DESCR( )                                DISCINT(6000)
   HBINT(300)                              KAINT(AUTO)
   LOCLADDR( )                             LONGRTY(999999999)
   LONGTMR(1200)                           MAXMSGL(4194304)
   MCANAME( )                              MCATYPE(THREAD)
   MCAUSER( )                              MODENAME( )
   MONCHL(QMGR)                            MRDATA( )
   MREXIT( )                               MRRTY(10)
   MRTMR(1000)                             MSGDATA( )
   MSGEXIT( )                              NETPRTY(0)
   NPMSPEED(FAST)                          PROPCTL(COMPAT)
   PUTAUT(DEF)                             RCVDATA( )
   RCVEXIT( )                              RESETSEQ(NO)
   SCYDATA( )                              SCYEXIT( )
   SENDDATA( )                             SENDEXIT( )
   SEQWRAP(999999999)                      SHORTRTY(10)
   SHORTTMR(60)                            SSLCAUTH(REQUIRED)
   SSLCIPH( )                              SSLPEER( )
   STATCHL(QMGR)                           TPNAME( )
   TRPTYPE(TCP)                            USEDLQ(YES)
AMQ8414I: Display Channel details.
   CHANNEL(SYSTEM.DEF.CLUSSDR)             CHLTYPE(CLUSSDR)
   ALTDATE(2026-03-16)                     ALTTIME(17.03.50)
   BATCHHB(0)                              BATCHINT(0)
   BATCHLIM(5000)                          BATCHSZ(50)
   CLUSNL( )                               CLUSTER( )
   CLWLPRTY(0)                             CLWLRANK(0)
   CLWLWGHT(50)                            COMPHDR(NONE)
   COMPMSG(NONE)                           CONNAME( )
   CONVERT(NO)                             DESCR( )
   DISCINT(6000)                           HBINT(300)
   KAINT(AUTO)                             LOCLADDR( )
   LONGRTY(999999999)                      LONGTMR(1200)
   MAXMSGL(4194304)                        MCANAME( )
   MCATYPE(THREAD)                         MCAUSER( )
   MODENAME( )                             MONCHL(QMGR)
   MSGDATA( )                              MSGEXIT( )
   NPMSPEED(FAST)                          PASSWORD( )
   PROPCTL(COMPAT)                         RCVDATA( )
   RCVEXIT( )                              RESETSEQ(NO)
   SCYDATA( )                              SCYEXIT( )
   SENDDATA( )                             SENDEXIT( )
   SEQWRAP(999999999)                      SHORTRTY(10)
   SHORTTMR(60)                            SSLCIPH( )
   SSLPEER( )                              STATCHL(QMGR)
   TPNAME( )                               TRPTYPE(TCP)
   USEDLQ(YES)                             USERID( )
AMQ8414I: Display Channel details.
   CHANNEL(SYSTEM.DEF.RECEIVER)            CHLTYPE(RCVR)
   ALTDATE(2026-03-16)                     ALTTIME(17.03.50)
   BATCHSZ(50)                             CERTLABL( )
   COMPHDR(NONE)                           COMPMSG(NONE)
   DESCR( )                                HBINT(300)
   KAINT(AUTO)                             MAXMSGL(4194304)
   MCAUSER( )                              MONCHL(QMGR)
   MRDATA( )                               MREXIT( )
   MRRTY(10)                               MRTMR(1000)
   MSGDATA( )                              MSGEXIT( )
   NPMSPEED(FAST)                          PUTAUT(DEF)
   RCVDATA( )                              RCVEXIT( )
   RESETSEQ(NO)                            SCYDATA( )
   SCYEXIT( )                              SENDDATA( )
   SENDEXIT( )                             SEQWRAP(999999999)
   SSLCAUTH(REQUIRED)                      SSLCIPH( )
   SSLPEER( )                              STATCHL(QMGR)
   TRPTYPE(TCP)                            USEDLQ(YES)
AMQ8414I: Display Channel details.
   CHANNEL(SYSTEM.DEF.REQUESTER)           CHLTYPE(RQSTR)
   ALTDATE(2026-03-16)                     ALTTIME(17.03.50)
   BATCHSZ(50)                             CERTLABL( )
   COMPHDR(NONE)                           COMPMSG(NONE)
   CONNAME( )                              DESCR( )
   HBINT(300)                              KAINT(AUTO)
   LOCLADDR( )                             MAXMSGL(4194304)
   MCANAME( )                              MCATYPE(PROCESS)
   MCAUSER( )                              MODENAME( )
   MONCHL(QMGR)                            MRDATA( )
   MREXIT( )                               MRRTY(10)
   MRTMR(1000)                             MSGDATA( )
   MSGEXIT( )                              NPMSPEED(FAST)
   PASSWORD( )                             PUTAUT(DEF)
   RCVDATA( )                              RCVEXIT( )
   RESETSEQ(NO)                            SCYDATA( )
   SCYEXIT( )                              SENDDATA( )
   SENDEXIT( )                             SEQWRAP(999999999)
   SSLCAUTH(REQUIRED)                      SSLCIPH( )
   SSLPEER( )                              STATCHL(QMGR)
   TPNAME( )                               TRPTYPE(TCP)
   USEDLQ(YES)                             USERID( )
AMQ8414I: Display Channel details.
   CHANNEL(SYSTEM.DEF.SENDER)              CHLTYPE(SDR)
   ALTDATE(2026-03-16)                     ALTTIME(17.03.50)
   BATCHHB(0)                              BATCHINT(0)
   BATCHLIM(5000)                          BATCHSZ(50)
   CERTLABL( )                             COMPHDR(NONE)
   COMPMSG(NONE)                           CONNAME( )
   CONVERT(NO)                             DESCR( )
   DISCINT(6000)                           HBINT(300)
   KAINT(AUTO)                             LOCLADDR( )
   LONGRTY(999999999)                      LONGTMR(1200)
   MAXMSGL(4194304)                        MCANAME( )
   MCATYPE(PROCESS)                        MCAUSER( )
   MODENAME( )                             MONCHL(QMGR)
   MSGDATA( )                              MSGEXIT( )
   NPMSPEED(FAST)                          PASSWORD( )
   PROPCTL(COMPAT)                         RCVDATA( )
   RCVEXIT( )                              RESETSEQ(NO)
   SCYDATA( )                              SCYEXIT( )
   SENDDATA( )                             SENDEXIT( )
   SEQWRAP(999999999)                      SHORTRTY(10)
   SHORTTMR(60)                            SSLCIPH( )
   SSLPEER( )                              STATCHL(QMGR)
   TPNAME( )                               TRPTYPE(TCP)
   USEDLQ(YES)                             USERID( )
   XMITQ( )
AMQ8414I: Display Channel details.
   CHANNEL(SYSTEM.DEF.SERVER)              CHLTYPE(SVR)
   ALTDATE(2026-03-16)                     ALTTIME(17.03.50)
   BATCHHB(0)                              BATCHINT(0)
   BATCHLIM(5000)                          BATCHSZ(50)
   CERTLABL( )                             COMPHDR(NONE)
   COMPMSG(NONE)                           CONNAME( )
   CONVERT(NO)                             DESCR( )
   DISCINT(6000)                           HBINT(300)
   KAINT(AUTO)                             LOCLADDR( )
   LONGRTY(999999999)                      LONGTMR(1200)
   MAXMSGL(4194304)                        MCANAME( )
   MCATYPE(PROCESS)                        MCAUSER( )
   MODENAME( )                             MONCHL(QMGR)
   MSGDATA( )                              MSGEXIT( )
   NPMSPEED(FAST)                          PASSWORD( )
   PROPCTL(COMPAT)                         RCVDATA( )
   RCVEXIT( )                              RESETSEQ(NO)
   SCYDATA( )                              SCYEXIT( )
   SENDDATA( )                             SENDEXIT( )
   SEQWRAP(999999999)                      SHORTRTY(10)
   SHORTTMR(60)                            SSLCAUTH(REQUIRED)
   SSLCIPH( )                              SSLPEER( )
   STATCHL(QMGR)                           TPNAME( )
   TRPTYPE(TCP)                            USEDLQ(YES)
   USERID( )                               XMITQ( )
AMQ8414I: Display Channel details.
   CHANNEL(SYSTEM.DEF.SVRCONN)             CHLTYPE(SVRCONN)
   ALTDATE(2026-03-16)                     ALTTIME(17.03.50)
   CERTLABL( )                             COMPHDR(NONE)
   COMPMSG(NONE)                           DESCR( )
   DISCINT(0)                              HBINT(300)
   KAINT(AUTO)                             MAXINST(999999999)
   MAXINSTC(999999999)                     MAXMSGL(4194304)
   MCAUSER( )                              MONCHL(QMGR)
   RCVDATA( )                              RCVEXIT( )
   SCYDATA( )                              SCYEXIT( )
   SENDDATA( )                             SENDEXIT( )
   SHARECNV(10)                            SSLCAUTH(REQUIRED)
   SSLCIPH( )                              SSLPEER( )
   TRPTYPE(TCP)
AMQ8414I: Display Channel details.
   CHANNEL(SYSTEM.DEF.CLNTCONN)            CHLTYPE(CLNTCONN)
   AFFINITY(PREFERRED)                     ALTDATE(2026-03-16)
   ALTTIME(17.03.50)                       CERTLABL( )
   CLNTWGHT(0)                             COMPHDR(NONE)
   COMPMSG(NONE)                           CONNAME( )
   DEFRECON(NO)                            DESCR( )
   HBINT(300)                              KAINT(AUTO)
   LOCLADDR( )                             MAXMSGL(4194304)
   MODENAME( )                             PASSWORD( )
   QMNAME( )                               RCVDATA( )
   RCVEXIT( )                              SCYDATA( )
   SCYEXIT( )                              SENDDATA( )
   SENDEXIT( )                             SHARECNV(10)
   SSLCIPH( )                              SSLPEER( )
   TPNAME( )                               TRPTYPE(TCP)
   USERID( )</t>
  </si>
  <si>
    <t>display chstatus(*) all
    13 : display chstatus(*) all
AMQ8417I: Display Channel Status details.
   CHANNEL(APP)                            CHLTYPE(SVRCONN)
   BUFSRCVD(1086815823)                    BUFSSENT(1086815822)
   BYTSRCVD(993625848)                     BYTSSENT(575258296)
   CHSTADA(2026-07-31)                     CHSTATI(10.00.08)
   COMPHDR(NONE,NONE)                      COMPMSG(NONE,NONE)
   COMPRATE(0,0)                           COMPTIME(0,0)
   CONNAME(10.111.13.17)                   CURRENT
   EXITTIME(0,0)                           HBINT(20)
   JOBNAME(00000BE000000009)               LOCLADDR(10.111.12.3(6666))
   LSTMSGDA(2026-08-06)                    LSTMSGTI(16.18.00)
   MCASTAT(RUNNING)                        MCAUSER(prodMqTdh)
   MONCHL(OFF)                             MSGS(1086815819)
   RAPPLTAG(YarnCoarseGrainedExecutorBac)
   SECPROT(NONE)                           SSLCERTI( )
   SSLCIPH( )                              SSLKEYDA( )
   SSLKEYTI( )                             SSLPEER( )
   SSLRKEYS(0)                             STATUS(RUNNING)
   STOPREQ(NO)                             SUBSTATE(RECEIVE)
   CURSHCNV(1)                             MAXSHCNV(10)
   RVERSION(09020300)                      RPRODUCT(MQJB)
AMQ8417I: Display Channel Status details.
   CHANNEL(APP)                            CHLTYPE(SVRCONN)
   BUFSRCVD(2069164108)                    BUFSSENT(2069164107)
   BYTSRCVD(-1657315820)                   BYTSSENT(848909876)
   CHSTADA(2026-07-24)                     CHSTATI(11.19.13)
   COMPHDR(NONE,NONE)                      COMPMSG(NONE,NONE)
   COMPRATE(0,0)                           COMPTIME(0,0)
   CONNAME(10.111.13.16)                   CURRENT
   EXITTIME(0,0)                           HBINT(20)
   JOBNAME(00000BE000000004)               LOCLADDR(10.111.12.3(6666))
   LSTMSGDA(2026-08-06)                    LSTMSGTI(16.18.00)
   MCASTAT(RUNNING)                        MCAUSER(prodMqTdh)
   MONCHL(OFF)                             MSGS(2069164104)
   RAPPLTAG(YarnCoarseGrainedExecutorBac)
   SECPROT(NONE)                           SSLCERTI( )
   SSLCIPH( )                              SSLKEYDA( )
   SSLKEYTI( )                             SSLPEER( )
   SSLRKEYS(0)                             STATUS(RUNNING)
   STOPREQ(NO)                             SUBSTATE(RECEIVE)
   CURSHCNV(1)                             MAXSHCNV(10)
   RVERSION(09020300)                      RPRODUCT(MQJB)
AMQ8417I: Display Channel Status details.
   CHANNEL(APP)                            CHLTYPE(SVRCONN)
   BUFSRCVD(-2137609825)                   BUFSSENT(-2137609827)
   BYTSRCVD(750412472)                     BYTSSENT(434450508)
   CHSTADA(2026-07-24)                     CHSTATI(11.19.16)
   COMPHDR(NONE,NONE)                      COMPMSG(NONE,NONE)
   COMPRATE(0,0)                           COMPTIME(0,0)
   CONNAME(10.111.13.18)                   CURRENT
   EXITTIME(0,0)                           HBINT(20)
   JOBNAME(00000BE000000005)               LOCLADDR(10.111.12.3(6666))
   LSTMSGDA(2026-08-06)                    LSTMSGTI(16.18.00)
   MCASTAT(RUNNING)                        MCAUSER(prodMqTdh)
   MONCHL(OFF)                             MSGS(-2137609830)
   RAPPLTAG(YarnCoarseGrainedExecutorBac)
   SECPROT(NONE)                           SSLCERTI( )
   SSLCIPH( )                              SSLKEYDA( )
   SSLKEYTI( )                             SSLPEER( )
   SSLRKEYS(0)                             STATUS(RUNNING)
   STOPREQ(NO)                             SUBSTATE( )
   CURSHCNV(1)                             MAXSHCNV(10)
   RVERSION(09020300)                      RPRODUCT(MQJB)
AMQ8417I: Display Channel Status details.
   CHANNEL(APP)                            CHLTYPE(SVRCONN)
   BUFSRCVD(-1978456341)                   BUFSSENT(-1978456342)
   BYTSRCVD(-38824632)                     BYTSSENT(-1152730744)
   CHSTADA(2026-07-24)                     CHSTATI(11.19.20)
   COMPHDR(NONE,NONE)                      COMPMSG(NONE,NONE)
   COMPRATE(0,0)                           COMPTIME(0,0)
   CONNAME(10.111.13.18)                   CURRENT
   EXITTIME(0,0)                           HBINT(20)
   JOBNAME(00000BE000000006)               LOCLADDR(10.111.12.3(6666))
   LSTMSGDA(2026-08-06)                    LSTMSGTI(16.18.00)
   MCASTAT(RUNNING)                        MCAUSER(prodMqTdh)
   MONCHL(OFF)                             MSGS(-1978456345)
   RAPPLTAG(YarnCoarseGrainedExecutorBac)
   SECPROT(NONE)                           SSLCERTI( )
   SSLCIPH( )                              SSLKEYDA( )
   SSLKEYTI( )                             SSLPEER( )
   SSLRKEYS(0)                             STATUS(RUNNING)
   STOPREQ(NO)                             SUBSTATE(RECEIVE)
   CURSHCNV(1)                             MAXSHCNV(10)
   RVERSION(09020300)                      RPRODUCT(MQJB)
AMQ8417I: Display Channel Status details.
   CHANNEL(APP)                            CHLTYPE(SVRCONN)
   BUFSRCVD(1182686542)                    BUFSSENT(1182686541)
   BYTSRCVD(-310134100)                    BYTSSENT(498602636)
   CHSTADA(2026-07-31)                     CHSTATI(10.00.02)
   COMPHDR(NONE,NONE)                      COMPMSG(NONE,NONE)
   COMPRATE(0,0)                           COMPTIME(0,0)
   CONNAME(10.111.13.18)                   CURRENT
   EXITTIME(0,0)                           HBINT(20)
   JOBNAME(00000BE000000008)               LOCLADDR(10.111.12.3(6666))
   LSTMSGDA(2026-08-06)                    LSTMSGTI(16.18.00)
   MCASTAT(RUNNING)                        MCAUSER(prodMqTdh)
   MONCHL(OFF)                             MSGS(1182686538)
   RAPPLTAG(YarnCoarseGrainedExecutorBac)
   SECPROT(NONE)                           SSLCERTI( )
   SSLCIPH( )                              SSLKEYDA( )
   SSLKEYTI( )                             SSLPEER( )
   SSLRKEYS(0)                             STATUS(RUNNING)
   STOPREQ(NO)                             SUBSTATE(RECEIVE)
   CURSHCNV(1)                             MAXSHCNV(10)
   RVERSION(09020300)                      RPRODUCT(MQJB)</t>
  </si>
  <si>
    <t>display chlauth(*) all
    14 : display chlauth(*) all
AMQ8878I: Display channel authentication record details.
   CHLAUTH(APP)                            TYPE(USERMAP)
   DESCR( )                                CUSTOM( )
   ADDRESS( )                              CLNTUSER(prodMqTdh)
   MCAUSER(prodMqTdh)                      USERSRC(MAP)
   CHCKCLNT(REQUIRED)                      ALTDATE(2026-03-16)
   ALTTIME(17.25.34)
AMQ8878I: Display channel authentication record details.
   CHLAUTH(SYSTEM.ADMIN.SVRCONN)           TYPE(ADDRESSMAP)
   DESCR(Default rule to allow MQ Explorer access)
   CUSTOM( )                               ADDRESS(*)
   USERSRC(CHANNEL)                        CHCKCLNT(ASQMGR)
   ALTDATE(2026-03-16)                     ALTTIME(17.03.52)
AMQ8878I: Display channel authentication record details.
   CHLAUTH(SYSTEM.*)                       TYPE(ADDRESSMAP)
   DESCR(Default rule to disable all SYSTEM channels)
   CUSTOM( )                               ADDRESS(*)
   USERSRC(NOACCESS)                       WARN(NO)
   ALTDATE(2026-03-16)                     ALTTIME(17.03.52)
AMQ8878I: Display channel authentication record details.
   CHLAUTH(*)                              TYPE(BLOCKUSER)
   DESCR(Default rule to disallow privileged users)
   CUSTOM( )
   USERLIST(*MQADMI)                       WARN(NO)
   ALTDATE(2026-03-16)                     ALTTIME(17.24.18)</t>
  </si>
  <si>
    <t>DISPLAY AUTHREC PROFILE(VN.CMB.PRD.IN) OBJTYPE(QUEUE)
    15 : DISPLAY AUTHREC PROFILE(VN.CMB.PRD.IN) OBJTYPE(QUEUE)
AMQ8864I: Display authority record details.
   PROFILE(VN.CMB.PRD.IN)                  ENTITY(Administrator@MQ02-DIH-PROD)
   ENTTYPE(PRINCIPAL)                      OBJTYPE(QUEUE)
   AUTHLIST(BROWSE,CHG,CLR,DLT,DSP,GET,INQ,PUT,PASSALL,PASSID,SET,SETALL,SETID)
AMQ8864I: Display authority record details.
   PROFILE(VN.CMB.PRD.IN)                  ENTITY(mqm@MQ02-DIH-PROD)
   ENTTYPE(GROUP)                          OBJTYPE(QUEUE)
   AUTHLIST(BROWSE,CHG,CLR,DLT,DSP,GET,INQ,PUT,PASSALL,PASSID,SET,SETALL,SETID)</t>
  </si>
  <si>
    <t>Đã chạy</t>
  </si>
  <si>
    <t>VDP2.0</t>
  </si>
  <si>
    <t>SVRCONN, channel App</t>
  </si>
  <si>
    <t>Giữ connection, mỗi queue 1 connection</t>
  </si>
  <si>
    <t>MQOO_INPUT_SHARED, không browse trước</t>
  </si>
  <si>
    <t>mỗi queue 1 instance riêng</t>
  </si>
  <si>
    <t>Get tuần tự toàn bộ</t>
  </si>
  <si>
    <t>GET trong syncpoint, không dùng XA, và UoW chỉ kéo dài đến lúc receiver commit sau khi nhận/lưu message</t>
  </si>
  <si>
    <t>không dựa vào BOTHRESH/backout queue của MQ mà xử lý lỗi ở tầng ứng dụng (retry, log, DLQ/error table), tránh để message backout lặp vô hạn trên queue nguồn</t>
  </si>
  <si>
    <t>Chạy liên tục</t>
  </si>
  <si>
    <t>Max queue depth: 10000000</t>
  </si>
  <si>
    <t>Không</t>
  </si>
  <si>
    <t>CHANNEL(APP)                            CHLTYPE(SVRCONN)
   HBINT(20)                               SHARECNV(10)</t>
  </si>
  <si>
    <t>Không hardcode, không có phụ thuộc vào việc object đích là QLOCAL</t>
  </si>
  <si>
    <t>Đã bàn giao</t>
  </si>
  <si>
    <t>Không thay đổi</t>
  </si>
  <si>
    <t>Chưa chạy được</t>
  </si>
  <si>
    <t>Mạng nội bộ</t>
  </si>
  <si>
    <t>không dùng AMS</t>
  </si>
  <si>
    <t>hiện không sử dụng TLS (SSLCIPH trống), nên không có TLS 1.2/1.3 và cũng không áp dụng mutual TLS, mặc dù SSLCAUTH(REQUIRED) đã được cấu hình.</t>
  </si>
  <si>
    <t>Không yêu cầu keystore và không có ràng buộc SSLPEER trên Distinguished Name.</t>
  </si>
  <si>
    <t>N/A</t>
  </si>
  <si>
    <t>OS user</t>
  </si>
  <si>
    <t>không ràng buộc theo địa chỉ IP nguồn</t>
  </si>
  <si>
    <t>PROD</t>
  </si>
  <si>
    <t>Chỉ có môi trường prod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</si>
</sst>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charset val="1"/>
    </font>
    <font>
      <b/>
      <sz val="13"/>
      <color rgb="FF1F3864"/>
      <name val="Arial"/>
      <charset val="1"/>
    </font>
    <font>
      <sz val="9.5"/>
      <color rgb="FF404040"/>
      <name val="Arial"/>
      <charset val="1"/>
    </font>
    <font>
      <b/>
      <sz val="10"/>
      <color rgb="FF000000"/>
      <name val="Arial"/>
      <charset val="1"/>
    </font>
    <font>
      <sz val="10"/>
      <color rgb="FF000000"/>
      <name val="Arial"/>
      <charset val="1"/>
    </font>
    <font>
      <b/>
      <sz val="11"/>
      <color rgb="FF1F3864"/>
      <name val="Arial"/>
      <charset val="1"/>
    </font>
    <font>
      <b/>
      <sz val="10"/>
      <color rgb="FFFFFFFF"/>
      <name val="Arial"/>
      <charset val="1"/>
    </font>
    <font>
      <sz val="10"/>
      <color rgb="FF1F3864"/>
      <name val="Arial"/>
      <charset val="1"/>
    </font>
    <font>
      <sz val="9.5"/>
      <color rgb="FF000000"/>
      <name val="Courier New"/>
      <charset val="1"/>
    </font>
    <font>
      <sz val="10"/>
      <color rgb="FF000000"/>
      <name val="Arial"/>
      <family val="2"/>
    </font>
    <font>
      <b/>
      <sz val="10"/>
      <color rgb="FF000000"/>
      <name val="Arial"/>
      <family val="2"/>
    </font>
    <font>
      <sz val="9.5"/>
      <color rgb="FF000000"/>
      <name val="Courier New"/>
      <family val="3"/>
    </font>
    <font>
      <b/>
      <sz val="13"/>
      <color rgb="FF1F3864"/>
      <name val="Arial"/>
      <family val="2"/>
    </font>
    <font>
      <sz val="9.5"/>
      <color rgb="FF404040"/>
      <name val="Arial"/>
      <family val="2"/>
    </font>
    <font>
      <b/>
      <sz val="10"/>
      <color rgb="FFFFFFFF"/>
      <name val="Arial"/>
      <family val="2"/>
    </font>
    <font>
      <b/>
      <sz val="10.5"/>
      <color rgb="FF1F3864"/>
      <name val="Arial"/>
      <family val="2"/>
    </font>
  </fonts>
  <fills count="12">
    <fill>
      <patternFill patternType="none"/>
    </fill>
    <fill>
      <patternFill patternType="gray125"/>
    </fill>
    <fill>
      <patternFill patternType="solid">
        <fgColor rgb="FFEDF3FA"/>
        <bgColor rgb="FFF2F2F2"/>
      </patternFill>
    </fill>
    <fill>
      <patternFill patternType="solid">
        <fgColor rgb="FF1F3864"/>
        <bgColor rgb="FF333399"/>
      </patternFill>
    </fill>
    <fill>
      <patternFill patternType="solid">
        <fgColor rgb="FFFFF2CC"/>
        <bgColor rgb="FFF2F2F2"/>
      </patternFill>
    </fill>
    <fill>
      <patternFill patternType="solid">
        <fgColor rgb="FFFFC7CE"/>
        <bgColor rgb="FFE7E6E6"/>
      </patternFill>
    </fill>
    <fill>
      <patternFill patternType="solid">
        <fgColor rgb="FFFFEB9C"/>
        <bgColor rgb="FFFFF2CC"/>
      </patternFill>
    </fill>
    <fill>
      <patternFill patternType="solid">
        <fgColor rgb="FFE7E6E6"/>
        <bgColor rgb="FFD9E2F3"/>
      </patternFill>
    </fill>
    <fill>
      <patternFill patternType="solid">
        <fgColor rgb="FFFFFFFF"/>
        <bgColor rgb="FFF7F9FC"/>
      </patternFill>
    </fill>
    <fill>
      <patternFill patternType="solid">
        <fgColor rgb="FFF7F9FC"/>
        <bgColor rgb="FFFFFFFF"/>
      </patternFill>
    </fill>
    <fill>
      <patternFill patternType="solid">
        <fgColor rgb="FFD9E2F3"/>
        <bgColor rgb="FFE7E6E6"/>
      </patternFill>
    </fill>
    <fill>
      <patternFill patternType="solid">
        <fgColor rgb="FFF2F2F2"/>
        <bgColor rgb="FFEDF3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66">
    <xf numFmtId="0" fontId="0" fillId="0" borderId="0" xfId="0"/>
    <xf numFmtId="0" fontId="4" fillId="0" borderId="2" xfId="0" applyFont="1" applyBorder="1" applyAlignment="1">
      <alignment vertical="top" wrapText="1"/>
    </xf>
    <xf numFmtId="0" fontId="4" fillId="0" borderId="0" xfId="0" applyFont="1" applyAlignment="1">
      <alignment vertical="top" wrapText="1"/>
    </xf>
    <xf numFmtId="0" fontId="2" fillId="2" borderId="0" xfId="0" applyFont="1" applyFill="1" applyAlignment="1">
      <alignment vertical="top" wrapText="1"/>
    </xf>
    <xf numFmtId="0" fontId="1" fillId="0" borderId="0" xfId="0" applyFont="1" applyAlignment="1">
      <alignment vertical="center"/>
    </xf>
    <xf numFmtId="0" fontId="3" fillId="0" borderId="0" xfId="0" applyFont="1" applyAlignment="1">
      <alignment vertical="top"/>
    </xf>
    <xf numFmtId="0" fontId="4" fillId="0" borderId="0" xfId="0" applyFont="1" applyAlignment="1">
      <alignment vertical="top" wrapText="1"/>
    </xf>
    <xf numFmtId="0" fontId="5" fillId="0" borderId="0" xfId="0" applyFont="1"/>
    <xf numFmtId="0" fontId="6" fillId="3" borderId="1" xfId="0" applyFont="1" applyFill="1" applyBorder="1" applyAlignment="1">
      <alignment horizontal="center" vertical="center" wrapText="1"/>
    </xf>
    <xf numFmtId="0" fontId="3" fillId="0" borderId="1" xfId="0" applyFont="1" applyBorder="1" applyAlignment="1">
      <alignment vertical="top"/>
    </xf>
    <xf numFmtId="0" fontId="7" fillId="0" borderId="1" xfId="0" applyFont="1" applyBorder="1" applyAlignment="1">
      <alignment vertical="top" wrapText="1"/>
    </xf>
    <xf numFmtId="0" fontId="3" fillId="4" borderId="1" xfId="0" applyFont="1" applyFill="1" applyBorder="1" applyAlignment="1">
      <alignment horizontal="center"/>
    </xf>
    <xf numFmtId="0" fontId="4" fillId="0" borderId="0" xfId="0" applyFont="1"/>
    <xf numFmtId="0" fontId="3" fillId="5" borderId="1" xfId="0" applyFont="1" applyFill="1" applyBorder="1" applyAlignment="1">
      <alignment horizontal="center"/>
    </xf>
    <xf numFmtId="0" fontId="3" fillId="6" borderId="1" xfId="0" applyFont="1" applyFill="1" applyBorder="1" applyAlignment="1">
      <alignment horizontal="center"/>
    </xf>
    <xf numFmtId="0" fontId="3" fillId="7" borderId="1" xfId="0" applyFont="1" applyFill="1" applyBorder="1" applyAlignment="1">
      <alignment horizontal="center"/>
    </xf>
    <xf numFmtId="0" fontId="3"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164" fontId="4" fillId="8" borderId="1" xfId="0" applyNumberFormat="1" applyFont="1" applyFill="1" applyBorder="1" applyAlignment="1">
      <alignment horizontal="center" vertical="center" wrapText="1"/>
    </xf>
    <xf numFmtId="0" fontId="3"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164" fontId="4" fillId="9" borderId="1" xfId="0" applyNumberFormat="1" applyFont="1" applyFill="1" applyBorder="1" applyAlignment="1">
      <alignment horizontal="center" vertical="center" wrapText="1"/>
    </xf>
    <xf numFmtId="0" fontId="3" fillId="10" borderId="1" xfId="0" applyFont="1" applyFill="1" applyBorder="1"/>
    <xf numFmtId="0" fontId="3" fillId="10" borderId="1" xfId="0" applyFont="1" applyFill="1" applyBorder="1" applyAlignment="1">
      <alignment horizontal="center"/>
    </xf>
    <xf numFmtId="164" fontId="3" fillId="10" borderId="1" xfId="0" applyNumberFormat="1" applyFont="1" applyFill="1" applyBorder="1" applyAlignment="1">
      <alignment horizontal="center"/>
    </xf>
    <xf numFmtId="0" fontId="3" fillId="8" borderId="1" xfId="0" applyFont="1" applyFill="1" applyBorder="1" applyAlignment="1">
      <alignment horizontal="center" vertical="top"/>
    </xf>
    <xf numFmtId="0" fontId="4" fillId="8" borderId="1" xfId="0" applyFont="1" applyFill="1" applyBorder="1" applyAlignment="1">
      <alignment vertical="top" wrapText="1"/>
    </xf>
    <xf numFmtId="0" fontId="3"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vertical="top" wrapText="1"/>
    </xf>
    <xf numFmtId="0" fontId="3" fillId="9" borderId="1" xfId="0" applyFont="1" applyFill="1" applyBorder="1" applyAlignment="1">
      <alignment horizontal="center" vertical="top"/>
    </xf>
    <xf numFmtId="0" fontId="4" fillId="9" borderId="1" xfId="0" applyFont="1" applyFill="1" applyBorder="1" applyAlignment="1">
      <alignment vertical="top" wrapText="1"/>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3" fillId="0" borderId="0" xfId="0" applyFont="1"/>
    <xf numFmtId="0" fontId="3" fillId="8" borderId="1" xfId="0" applyFont="1" applyFill="1" applyBorder="1" applyAlignment="1">
      <alignment horizontal="center" vertical="top" wrapText="1"/>
    </xf>
    <xf numFmtId="0" fontId="4" fillId="8"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3" fillId="9"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8" fillId="11" borderId="0" xfId="0" applyFont="1" applyFill="1" applyAlignment="1">
      <alignment vertical="center"/>
    </xf>
    <xf numFmtId="0" fontId="8" fillId="11" borderId="1" xfId="0" applyFont="1" applyFill="1" applyBorder="1"/>
    <xf numFmtId="0" fontId="4" fillId="4" borderId="1" xfId="0" applyFont="1" applyFill="1" applyBorder="1" applyAlignment="1">
      <alignment horizontal="center"/>
    </xf>
    <xf numFmtId="0" fontId="4" fillId="4" borderId="1" xfId="0" applyFont="1" applyFill="1" applyBorder="1" applyAlignment="1">
      <alignment horizontal="left"/>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9" fillId="4" borderId="1" xfId="0" applyFont="1" applyFill="1" applyBorder="1" applyAlignment="1">
      <alignment vertical="top" wrapText="1"/>
    </xf>
    <xf numFmtId="0" fontId="9" fillId="8" borderId="1" xfId="0" applyFont="1" applyFill="1" applyBorder="1" applyAlignment="1">
      <alignment vertical="top" wrapText="1"/>
    </xf>
    <xf numFmtId="0" fontId="9" fillId="9" borderId="1" xfId="0" applyFont="1" applyFill="1" applyBorder="1" applyAlignment="1">
      <alignment vertical="top" wrapText="1"/>
    </xf>
    <xf numFmtId="0" fontId="4" fillId="4" borderId="1" xfId="0" applyFont="1" applyFill="1" applyBorder="1" applyAlignment="1">
      <alignment horizontal="left" wrapText="1"/>
    </xf>
    <xf numFmtId="0" fontId="9" fillId="4" borderId="1" xfId="0" applyFont="1" applyFill="1" applyBorder="1" applyAlignment="1">
      <alignment horizontal="left" wrapText="1"/>
    </xf>
    <xf numFmtId="0" fontId="11" fillId="11" borderId="1" xfId="0" applyFont="1" applyFill="1" applyBorder="1"/>
    <xf numFmtId="0" fontId="12" fillId="0" borderId="0" xfId="0" applyFont="1" applyAlignment="1">
      <alignment vertical="center"/>
    </xf>
    <xf numFmtId="0" fontId="13" fillId="2" borderId="0" xfId="0" applyFont="1" applyFill="1" applyAlignment="1">
      <alignment vertical="top" wrapText="1"/>
    </xf>
    <xf numFmtId="0" fontId="10" fillId="0" borderId="0" xfId="0" applyFont="1"/>
    <xf numFmtId="0" fontId="10" fillId="4" borderId="2" xfId="0" applyFont="1" applyFill="1" applyBorder="1" applyAlignment="1">
      <alignment horizontal="center"/>
    </xf>
    <xf numFmtId="0" fontId="14" fillId="3" borderId="1" xfId="0" applyFont="1" applyFill="1" applyBorder="1" applyAlignment="1">
      <alignment horizontal="center" vertical="center" wrapText="1"/>
    </xf>
    <xf numFmtId="0" fontId="15" fillId="10" borderId="2" xfId="0" applyFont="1" applyFill="1" applyBorder="1" applyAlignment="1">
      <alignment vertical="center"/>
    </xf>
    <xf numFmtId="0" fontId="10" fillId="8" borderId="1" xfId="0" applyFont="1" applyFill="1" applyBorder="1" applyAlignment="1">
      <alignment horizontal="center" vertical="top"/>
    </xf>
    <xf numFmtId="0" fontId="9" fillId="6" borderId="1" xfId="0" applyFont="1" applyFill="1" applyBorder="1" applyAlignment="1">
      <alignment horizontal="center" vertical="center"/>
    </xf>
    <xf numFmtId="0" fontId="9" fillId="4" borderId="1" xfId="0" applyFont="1" applyFill="1" applyBorder="1" applyAlignment="1">
      <alignment horizontal="center" vertical="center"/>
    </xf>
    <xf numFmtId="0" fontId="10" fillId="9" borderId="1" xfId="0" applyFont="1" applyFill="1" applyBorder="1" applyAlignment="1">
      <alignment horizontal="center" vertical="top"/>
    </xf>
    <xf numFmtId="0" fontId="10"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F3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E7E6E6"/>
      <rgbColor rgb="FFFFEB9C"/>
      <rgbColor rgb="FFF7F9FC"/>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showGridLines="0" topLeftCell="A7" zoomScaleNormal="100" workbookViewId="0">
      <selection sqref="A1:G1"/>
    </sheetView>
  </sheetViews>
  <sheetFormatPr defaultColWidth="8.6328125" defaultRowHeight="14.5" x14ac:dyDescent="0.35"/>
  <cols>
    <col min="1" max="1" width="9" customWidth="1"/>
    <col min="2" max="2" width="92" customWidth="1"/>
    <col min="3" max="3" width="11" customWidth="1"/>
    <col min="4" max="4" width="16" customWidth="1"/>
    <col min="5" max="5" width="52" customWidth="1"/>
    <col min="6" max="6" width="30" customWidth="1"/>
    <col min="7" max="7" width="26" customWidth="1"/>
  </cols>
  <sheetData>
    <row r="1" spans="1:7" ht="25.5" customHeight="1" x14ac:dyDescent="0.35">
      <c r="A1" s="4" t="s">
        <v>0</v>
      </c>
      <c r="B1" s="4"/>
      <c r="C1" s="4"/>
      <c r="D1" s="4"/>
      <c r="E1" s="4"/>
      <c r="F1" s="4"/>
      <c r="G1" s="4"/>
    </row>
    <row r="2" spans="1:7" ht="30" customHeight="1" x14ac:dyDescent="0.35">
      <c r="A2" s="3" t="s">
        <v>1</v>
      </c>
      <c r="B2" s="3"/>
      <c r="C2" s="3"/>
      <c r="D2" s="3"/>
      <c r="E2" s="3"/>
      <c r="F2" s="3"/>
      <c r="G2" s="3"/>
    </row>
    <row r="4" spans="1:7" ht="30" customHeight="1" x14ac:dyDescent="0.35">
      <c r="A4" s="5" t="s">
        <v>2</v>
      </c>
      <c r="B4" s="2" t="s">
        <v>3</v>
      </c>
      <c r="C4" s="2"/>
      <c r="D4" s="2"/>
      <c r="E4" s="2"/>
      <c r="F4" s="2"/>
      <c r="G4" s="2"/>
    </row>
    <row r="5" spans="1:7" ht="30" customHeight="1" x14ac:dyDescent="0.35">
      <c r="A5" s="5" t="s">
        <v>4</v>
      </c>
      <c r="B5" s="2" t="s">
        <v>5</v>
      </c>
      <c r="C5" s="2"/>
      <c r="D5" s="2"/>
      <c r="E5" s="2"/>
      <c r="F5" s="2"/>
      <c r="G5" s="2"/>
    </row>
    <row r="6" spans="1:7" ht="30" customHeight="1" x14ac:dyDescent="0.35">
      <c r="A6" s="5" t="s">
        <v>6</v>
      </c>
      <c r="B6" s="2" t="s">
        <v>7</v>
      </c>
      <c r="C6" s="2"/>
      <c r="D6" s="2"/>
      <c r="E6" s="2"/>
      <c r="F6" s="2"/>
      <c r="G6" s="2"/>
    </row>
    <row r="7" spans="1:7" ht="30" customHeight="1" x14ac:dyDescent="0.35">
      <c r="A7" s="5" t="s">
        <v>8</v>
      </c>
      <c r="B7" s="2" t="s">
        <v>9</v>
      </c>
      <c r="C7" s="2"/>
      <c r="D7" s="2"/>
      <c r="E7" s="2"/>
      <c r="F7" s="2"/>
      <c r="G7" s="2"/>
    </row>
    <row r="8" spans="1:7" ht="30" customHeight="1" x14ac:dyDescent="0.35">
      <c r="A8" s="5" t="s">
        <v>10</v>
      </c>
      <c r="B8" s="2" t="s">
        <v>11</v>
      </c>
      <c r="C8" s="2"/>
      <c r="D8" s="2"/>
      <c r="E8" s="2"/>
      <c r="F8" s="2"/>
      <c r="G8" s="2"/>
    </row>
    <row r="10" spans="1:7" x14ac:dyDescent="0.35">
      <c r="A10" s="7" t="s">
        <v>12</v>
      </c>
    </row>
    <row r="11" spans="1:7" ht="24" customHeight="1" x14ac:dyDescent="0.35">
      <c r="A11" s="8" t="s">
        <v>13</v>
      </c>
      <c r="B11" s="8" t="s">
        <v>14</v>
      </c>
      <c r="C11" s="8"/>
      <c r="D11" s="8"/>
      <c r="E11" s="8"/>
      <c r="F11" s="8"/>
      <c r="G11" s="8"/>
    </row>
    <row r="12" spans="1:7" ht="27.75" customHeight="1" x14ac:dyDescent="0.35">
      <c r="A12" s="9" t="s">
        <v>15</v>
      </c>
      <c r="B12" s="1" t="s">
        <v>16</v>
      </c>
      <c r="C12" s="1"/>
      <c r="D12" s="1"/>
      <c r="E12" s="1"/>
      <c r="F12" s="1"/>
      <c r="G12" s="1"/>
    </row>
    <row r="13" spans="1:7" ht="27.75" customHeight="1" x14ac:dyDescent="0.35">
      <c r="A13" s="9" t="s">
        <v>17</v>
      </c>
      <c r="B13" s="1" t="s">
        <v>18</v>
      </c>
      <c r="C13" s="1"/>
      <c r="D13" s="1"/>
      <c r="E13" s="1"/>
      <c r="F13" s="1"/>
      <c r="G13" s="1"/>
    </row>
    <row r="14" spans="1:7" ht="27.75" customHeight="1" x14ac:dyDescent="0.35">
      <c r="A14" s="9" t="s">
        <v>19</v>
      </c>
      <c r="B14" s="1" t="s">
        <v>20</v>
      </c>
      <c r="C14" s="1"/>
      <c r="D14" s="1"/>
      <c r="E14" s="1"/>
      <c r="F14" s="1"/>
      <c r="G14" s="1"/>
    </row>
    <row r="15" spans="1:7" ht="27.75" customHeight="1" x14ac:dyDescent="0.35">
      <c r="A15" s="9" t="s">
        <v>21</v>
      </c>
      <c r="B15" s="1" t="s">
        <v>22</v>
      </c>
      <c r="C15" s="1"/>
      <c r="D15" s="1"/>
      <c r="E15" s="1"/>
      <c r="F15" s="1"/>
      <c r="G15" s="1"/>
    </row>
    <row r="16" spans="1:7" ht="27.75" customHeight="1" x14ac:dyDescent="0.35">
      <c r="A16" s="9" t="s">
        <v>23</v>
      </c>
      <c r="B16" s="1" t="s">
        <v>24</v>
      </c>
      <c r="C16" s="1"/>
      <c r="D16" s="1"/>
      <c r="E16" s="1"/>
      <c r="F16" s="1"/>
      <c r="G16" s="1"/>
    </row>
    <row r="17" spans="1:7" ht="27.75" customHeight="1" x14ac:dyDescent="0.35">
      <c r="A17" s="9" t="s">
        <v>25</v>
      </c>
      <c r="B17" s="1" t="s">
        <v>26</v>
      </c>
      <c r="C17" s="1"/>
      <c r="D17" s="1"/>
      <c r="E17" s="1"/>
      <c r="F17" s="1"/>
      <c r="G17" s="1"/>
    </row>
    <row r="18" spans="1:7" ht="27.75" customHeight="1" x14ac:dyDescent="0.35">
      <c r="A18" s="9" t="s">
        <v>27</v>
      </c>
      <c r="B18" s="1" t="s">
        <v>28</v>
      </c>
      <c r="C18" s="1"/>
      <c r="D18" s="1"/>
      <c r="E18" s="1"/>
      <c r="F18" s="1"/>
      <c r="G18" s="1"/>
    </row>
    <row r="20" spans="1:7" x14ac:dyDescent="0.35">
      <c r="A20" s="7" t="s">
        <v>29</v>
      </c>
    </row>
    <row r="21" spans="1:7" ht="24" customHeight="1" x14ac:dyDescent="0.35">
      <c r="A21" s="8" t="s">
        <v>15</v>
      </c>
      <c r="B21" s="8" t="s">
        <v>17</v>
      </c>
      <c r="C21" s="8" t="s">
        <v>19</v>
      </c>
      <c r="D21" s="8" t="s">
        <v>21</v>
      </c>
      <c r="E21" s="8" t="s">
        <v>23</v>
      </c>
      <c r="F21" s="8" t="s">
        <v>25</v>
      </c>
      <c r="G21" s="8" t="s">
        <v>27</v>
      </c>
    </row>
    <row r="22" spans="1:7" ht="33.75" customHeight="1" x14ac:dyDescent="0.35">
      <c r="A22" s="10" t="s">
        <v>30</v>
      </c>
      <c r="B22" s="10" t="s">
        <v>31</v>
      </c>
      <c r="C22" s="10" t="s">
        <v>32</v>
      </c>
      <c r="D22" s="10" t="s">
        <v>33</v>
      </c>
      <c r="E22" s="10" t="s">
        <v>34</v>
      </c>
      <c r="F22" s="10" t="s">
        <v>35</v>
      </c>
      <c r="G22" s="10" t="s">
        <v>36</v>
      </c>
    </row>
    <row r="24" spans="1:7" x14ac:dyDescent="0.35">
      <c r="A24" s="7" t="s">
        <v>37</v>
      </c>
    </row>
    <row r="25" spans="1:7" x14ac:dyDescent="0.35">
      <c r="A25" s="11" t="s">
        <v>38</v>
      </c>
      <c r="B25" s="12" t="s">
        <v>39</v>
      </c>
    </row>
    <row r="26" spans="1:7" x14ac:dyDescent="0.35">
      <c r="A26" s="13" t="s">
        <v>32</v>
      </c>
      <c r="B26" s="12" t="s">
        <v>40</v>
      </c>
    </row>
    <row r="27" spans="1:7" x14ac:dyDescent="0.35">
      <c r="A27" s="14" t="s">
        <v>41</v>
      </c>
      <c r="B27" s="12" t="s">
        <v>42</v>
      </c>
    </row>
    <row r="28" spans="1:7" x14ac:dyDescent="0.35">
      <c r="A28" s="15" t="s">
        <v>43</v>
      </c>
      <c r="B28" s="12" t="s">
        <v>44</v>
      </c>
    </row>
  </sheetData>
  <mergeCells count="14">
    <mergeCell ref="B15:G15"/>
    <mergeCell ref="B16:G16"/>
    <mergeCell ref="B17:G17"/>
    <mergeCell ref="B18:G18"/>
    <mergeCell ref="B7:G7"/>
    <mergeCell ref="B8:G8"/>
    <mergeCell ref="B12:G12"/>
    <mergeCell ref="B13:G13"/>
    <mergeCell ref="B14:G14"/>
    <mergeCell ref="A1:G1"/>
    <mergeCell ref="A2:G2"/>
    <mergeCell ref="B4:G4"/>
    <mergeCell ref="B5:G5"/>
    <mergeCell ref="B6:G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showGridLines="0" zoomScaleNormal="100" workbookViewId="0">
      <selection activeCell="A11" sqref="A11:H11"/>
    </sheetView>
  </sheetViews>
  <sheetFormatPr defaultColWidth="8.6328125" defaultRowHeight="14.5" x14ac:dyDescent="0.35"/>
  <cols>
    <col min="1" max="1" width="30" customWidth="1"/>
    <col min="2" max="2" width="44" customWidth="1"/>
    <col min="3" max="5" width="14" customWidth="1"/>
    <col min="6" max="6" width="16" customWidth="1"/>
    <col min="7" max="7" width="14" customWidth="1"/>
    <col min="8" max="8" width="16" customWidth="1"/>
  </cols>
  <sheetData>
    <row r="1" spans="1:8" ht="25.5" customHeight="1" x14ac:dyDescent="0.35">
      <c r="A1" s="4" t="s">
        <v>45</v>
      </c>
      <c r="B1" s="4"/>
      <c r="C1" s="4"/>
      <c r="D1" s="4"/>
      <c r="E1" s="4"/>
      <c r="F1" s="4"/>
      <c r="G1" s="4"/>
      <c r="H1" s="4"/>
    </row>
    <row r="2" spans="1:8" ht="30" customHeight="1" x14ac:dyDescent="0.35">
      <c r="A2" s="3" t="s">
        <v>46</v>
      </c>
      <c r="B2" s="3"/>
      <c r="C2" s="3"/>
      <c r="D2" s="3"/>
      <c r="E2" s="3"/>
      <c r="F2" s="3"/>
      <c r="G2" s="3"/>
      <c r="H2" s="3"/>
    </row>
    <row r="4" spans="1:8" ht="24" customHeight="1" x14ac:dyDescent="0.35">
      <c r="A4" s="8" t="s">
        <v>47</v>
      </c>
      <c r="B4" s="8" t="s">
        <v>48</v>
      </c>
      <c r="C4" s="8" t="s">
        <v>49</v>
      </c>
      <c r="D4" s="8" t="s">
        <v>50</v>
      </c>
      <c r="E4" s="8" t="s">
        <v>33</v>
      </c>
      <c r="F4" s="8" t="s">
        <v>51</v>
      </c>
      <c r="G4" s="8" t="s">
        <v>52</v>
      </c>
      <c r="H4" s="8" t="s">
        <v>53</v>
      </c>
    </row>
    <row r="5" spans="1:8" ht="24" customHeight="1" x14ac:dyDescent="0.35">
      <c r="A5" s="16" t="s">
        <v>54</v>
      </c>
      <c r="B5" s="17" t="s">
        <v>55</v>
      </c>
      <c r="C5" s="18">
        <f>COUNTIF(A_Ha_tang_MQ!$C$3:$C$200,"P0")+COUNTIF(A_Ha_tang_MQ!$C$3:$C$200,"P1")+COUNTIF(A_Ha_tang_MQ!$C$3:$C$200,"P2")</f>
        <v>21</v>
      </c>
      <c r="D5" s="18">
        <f>COUNTIF(A_Ha_tang_MQ!$C$3:$C$200,"P0")</f>
        <v>12</v>
      </c>
      <c r="E5" s="18">
        <f>COUNTIF(A_Ha_tang_MQ!$D$3:$D$200,"Đã trả lời")</f>
        <v>6</v>
      </c>
      <c r="F5" s="18">
        <f>COUNTIF(A_Ha_tang_MQ!$D$3:$D$200,"Không áp dụng")</f>
        <v>1</v>
      </c>
      <c r="G5" s="18">
        <f>C5-E5-F5</f>
        <v>14</v>
      </c>
      <c r="H5" s="19">
        <f>IFERROR((E5+F5)/C5,0)</f>
        <v>0.33333333333333331</v>
      </c>
    </row>
    <row r="6" spans="1:8" ht="24" customHeight="1" x14ac:dyDescent="0.35">
      <c r="A6" s="20" t="s">
        <v>56</v>
      </c>
      <c r="B6" s="21" t="s">
        <v>57</v>
      </c>
      <c r="C6" s="22">
        <f>COUNTIF(B_Interface_Amadeus!$C$3:$C$200,"P0")+COUNTIF(B_Interface_Amadeus!$C$3:$C$200,"P1")+COUNTIF(B_Interface_Amadeus!$C$3:$C$200,"P2")</f>
        <v>23</v>
      </c>
      <c r="D6" s="22">
        <f>COUNTIF(B_Interface_Amadeus!$C$3:$C$200,"P0")</f>
        <v>19</v>
      </c>
      <c r="E6" s="22">
        <f>COUNTIF(B_Interface_Amadeus!$D$3:$D$200,"Đã trả lời")</f>
        <v>0</v>
      </c>
      <c r="F6" s="22">
        <f>COUNTIF(B_Interface_Amadeus!$D$3:$D$200,"Không áp dụng")</f>
        <v>9</v>
      </c>
      <c r="G6" s="22">
        <f>C6-E6-F6</f>
        <v>14</v>
      </c>
      <c r="H6" s="23">
        <f>IFERROR((E6+F6)/C6,0)</f>
        <v>0.39130434782608697</v>
      </c>
    </row>
    <row r="7" spans="1:8" ht="24" customHeight="1" x14ac:dyDescent="0.35">
      <c r="A7" s="16" t="s">
        <v>58</v>
      </c>
      <c r="B7" s="17" t="s">
        <v>59</v>
      </c>
      <c r="C7" s="18" t="e">
        <f>COUNTIF(#REF!,"P0")+COUNTIF(#REF!,"P1")+COUNTIF(#REF!,"P2")</f>
        <v>#REF!</v>
      </c>
      <c r="D7" s="18" t="e">
        <f>COUNTIF(#REF!,"P0")</f>
        <v>#REF!</v>
      </c>
      <c r="E7" s="18" t="e">
        <f>COUNTIF(#REF!,"Đã trả lời")</f>
        <v>#REF!</v>
      </c>
      <c r="F7" s="18" t="e">
        <f>COUNTIF(#REF!,"Không áp dụng")</f>
        <v>#REF!</v>
      </c>
      <c r="G7" s="18" t="e">
        <f>C7-E7-F7</f>
        <v>#REF!</v>
      </c>
      <c r="H7" s="19">
        <f>IFERROR((E7+F7)/C7,0)</f>
        <v>0</v>
      </c>
    </row>
    <row r="8" spans="1:8" ht="24" customHeight="1" x14ac:dyDescent="0.35">
      <c r="A8" s="20" t="s">
        <v>60</v>
      </c>
      <c r="B8" s="21" t="s">
        <v>61</v>
      </c>
      <c r="C8" s="22" t="e">
        <f>COUNTIF(#REF!,"P0")+COUNTIF(#REF!,"P1")+COUNTIF(#REF!,"P2")</f>
        <v>#REF!</v>
      </c>
      <c r="D8" s="22" t="e">
        <f>COUNTIF(#REF!,"P0")</f>
        <v>#REF!</v>
      </c>
      <c r="E8" s="22" t="e">
        <f>COUNTIF(#REF!,"Đã trả lời")</f>
        <v>#REF!</v>
      </c>
      <c r="F8" s="22" t="e">
        <f>COUNTIF(#REF!,"Không áp dụng")</f>
        <v>#REF!</v>
      </c>
      <c r="G8" s="22" t="e">
        <f>C8-E8-F8</f>
        <v>#REF!</v>
      </c>
      <c r="H8" s="23">
        <f>IFERROR((E8+F8)/C8,0)</f>
        <v>0</v>
      </c>
    </row>
    <row r="9" spans="1:8" x14ac:dyDescent="0.35">
      <c r="A9" s="24" t="s">
        <v>62</v>
      </c>
      <c r="B9" s="24"/>
      <c r="C9" s="25" t="e">
        <f>SUM(C5:C8)</f>
        <v>#REF!</v>
      </c>
      <c r="D9" s="25" t="e">
        <f>SUM(D5:D8)</f>
        <v>#REF!</v>
      </c>
      <c r="E9" s="25" t="e">
        <f>SUM(E5:E8)</f>
        <v>#REF!</v>
      </c>
      <c r="F9" s="25" t="e">
        <f>SUM(F5:F8)</f>
        <v>#REF!</v>
      </c>
      <c r="G9" s="25" t="e">
        <f>SUM(G5:G8)</f>
        <v>#REF!</v>
      </c>
      <c r="H9" s="26">
        <f>IFERROR((E9+F9)/C9,0)</f>
        <v>0</v>
      </c>
    </row>
    <row r="11" spans="1:8" ht="31.5" customHeight="1" x14ac:dyDescent="0.35">
      <c r="A11" s="3" t="s">
        <v>63</v>
      </c>
      <c r="B11" s="3"/>
      <c r="C11" s="3"/>
      <c r="D11" s="3"/>
      <c r="E11" s="3"/>
      <c r="F11" s="3"/>
      <c r="G11" s="3"/>
      <c r="H11" s="3"/>
    </row>
  </sheetData>
  <mergeCells count="3">
    <mergeCell ref="A1:H1"/>
    <mergeCell ref="A2:H2"/>
    <mergeCell ref="A11:H1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showGridLines="0" zoomScaleNormal="100" workbookViewId="0">
      <pane xSplit="2" ySplit="3" topLeftCell="C19" activePane="bottomRight" state="frozen"/>
      <selection pane="topRight" activeCell="C1" sqref="C1"/>
      <selection pane="bottomLeft" activeCell="A4" sqref="A4"/>
      <selection pane="bottomRight" activeCell="E14" sqref="E14"/>
    </sheetView>
  </sheetViews>
  <sheetFormatPr defaultColWidth="8.6328125" defaultRowHeight="14.5" x14ac:dyDescent="0.35"/>
  <cols>
    <col min="1" max="1" width="9" customWidth="1"/>
    <col min="2" max="2" width="92" customWidth="1"/>
    <col min="3" max="3" width="11" customWidth="1"/>
    <col min="4" max="4" width="16" customWidth="1"/>
    <col min="5" max="5" width="52" customWidth="1"/>
    <col min="6" max="6" width="30" customWidth="1"/>
    <col min="7" max="7" width="26" customWidth="1"/>
  </cols>
  <sheetData>
    <row r="1" spans="1:7" ht="25.5" customHeight="1" x14ac:dyDescent="0.35">
      <c r="A1" s="4" t="s">
        <v>64</v>
      </c>
      <c r="B1" s="4"/>
      <c r="C1" s="4"/>
      <c r="D1" s="4"/>
      <c r="E1" s="4"/>
      <c r="F1" s="4"/>
      <c r="G1" s="4"/>
    </row>
    <row r="3" spans="1:7" ht="24" customHeight="1" x14ac:dyDescent="0.35">
      <c r="A3" s="8" t="s">
        <v>15</v>
      </c>
      <c r="B3" s="8" t="s">
        <v>17</v>
      </c>
      <c r="C3" s="8" t="s">
        <v>19</v>
      </c>
      <c r="D3" s="8" t="s">
        <v>21</v>
      </c>
      <c r="E3" s="8" t="s">
        <v>23</v>
      </c>
      <c r="F3" s="8" t="s">
        <v>25</v>
      </c>
      <c r="G3" s="8" t="s">
        <v>27</v>
      </c>
    </row>
    <row r="4" spans="1:7" ht="42" customHeight="1" x14ac:dyDescent="0.35">
      <c r="A4" s="27" t="s">
        <v>30</v>
      </c>
      <c r="B4" s="28" t="s">
        <v>31</v>
      </c>
      <c r="C4" s="29" t="s">
        <v>32</v>
      </c>
      <c r="D4" s="30" t="s">
        <v>33</v>
      </c>
      <c r="E4" s="31" t="s">
        <v>366</v>
      </c>
      <c r="F4" s="31"/>
      <c r="G4" s="31"/>
    </row>
    <row r="5" spans="1:7" ht="42" customHeight="1" x14ac:dyDescent="0.35">
      <c r="A5" s="32" t="s">
        <v>66</v>
      </c>
      <c r="B5" s="33" t="s">
        <v>67</v>
      </c>
      <c r="C5" s="29" t="s">
        <v>32</v>
      </c>
      <c r="D5" s="30" t="s">
        <v>33</v>
      </c>
      <c r="E5" s="31" t="s">
        <v>364</v>
      </c>
      <c r="F5" s="31"/>
      <c r="G5" s="31"/>
    </row>
    <row r="6" spans="1:7" ht="69.5" customHeight="1" x14ac:dyDescent="0.35">
      <c r="A6" s="27" t="s">
        <v>68</v>
      </c>
      <c r="B6" s="28" t="s">
        <v>69</v>
      </c>
      <c r="C6" s="29" t="s">
        <v>32</v>
      </c>
      <c r="D6" s="30" t="s">
        <v>33</v>
      </c>
      <c r="E6" s="31" t="s">
        <v>367</v>
      </c>
      <c r="F6" s="31"/>
      <c r="G6" s="31"/>
    </row>
    <row r="7" spans="1:7" ht="56" customHeight="1" x14ac:dyDescent="0.35">
      <c r="A7" s="32" t="s">
        <v>70</v>
      </c>
      <c r="B7" s="33" t="s">
        <v>71</v>
      </c>
      <c r="C7" s="34" t="s">
        <v>41</v>
      </c>
      <c r="D7" s="30" t="s">
        <v>65</v>
      </c>
      <c r="E7" s="31" t="s">
        <v>368</v>
      </c>
      <c r="F7" s="31"/>
      <c r="G7" s="31"/>
    </row>
    <row r="8" spans="1:7" ht="68" customHeight="1" x14ac:dyDescent="0.35">
      <c r="A8" s="27" t="s">
        <v>72</v>
      </c>
      <c r="B8" s="28" t="s">
        <v>73</v>
      </c>
      <c r="C8" s="29" t="s">
        <v>32</v>
      </c>
      <c r="D8" s="30" t="s">
        <v>65</v>
      </c>
      <c r="E8" s="49" t="s">
        <v>369</v>
      </c>
      <c r="F8" s="31"/>
      <c r="G8" s="31"/>
    </row>
    <row r="9" spans="1:7" ht="42" customHeight="1" x14ac:dyDescent="0.35">
      <c r="A9" s="32" t="s">
        <v>74</v>
      </c>
      <c r="B9" s="33" t="s">
        <v>75</v>
      </c>
      <c r="C9" s="29" t="s">
        <v>32</v>
      </c>
      <c r="D9" s="30" t="s">
        <v>51</v>
      </c>
      <c r="E9" s="31"/>
      <c r="F9" s="31"/>
      <c r="G9" s="31"/>
    </row>
    <row r="10" spans="1:7" ht="42" customHeight="1" x14ac:dyDescent="0.35">
      <c r="A10" s="27" t="s">
        <v>76</v>
      </c>
      <c r="B10" s="28" t="s">
        <v>77</v>
      </c>
      <c r="C10" s="29" t="s">
        <v>32</v>
      </c>
      <c r="D10" s="30" t="s">
        <v>33</v>
      </c>
      <c r="E10" s="31" t="s">
        <v>374</v>
      </c>
      <c r="F10" s="31"/>
      <c r="G10" s="31"/>
    </row>
    <row r="11" spans="1:7" ht="42" customHeight="1" x14ac:dyDescent="0.35">
      <c r="A11" s="32" t="s">
        <v>78</v>
      </c>
      <c r="B11" s="33" t="s">
        <v>79</v>
      </c>
      <c r="C11" s="29" t="s">
        <v>32</v>
      </c>
      <c r="D11" s="30" t="s">
        <v>33</v>
      </c>
      <c r="E11" s="49" t="s">
        <v>370</v>
      </c>
      <c r="F11" s="31"/>
      <c r="G11" s="31"/>
    </row>
    <row r="12" spans="1:7" ht="42" customHeight="1" x14ac:dyDescent="0.35">
      <c r="A12" s="27" t="s">
        <v>80</v>
      </c>
      <c r="B12" s="50" t="s">
        <v>81</v>
      </c>
      <c r="C12" s="29" t="s">
        <v>32</v>
      </c>
      <c r="D12" s="30" t="s">
        <v>33</v>
      </c>
      <c r="E12" s="49" t="s">
        <v>371</v>
      </c>
      <c r="F12" s="31"/>
      <c r="G12" s="31"/>
    </row>
    <row r="13" spans="1:7" ht="42" customHeight="1" x14ac:dyDescent="0.35">
      <c r="A13" s="32" t="s">
        <v>82</v>
      </c>
      <c r="B13" s="51" t="s">
        <v>83</v>
      </c>
      <c r="C13" s="29" t="s">
        <v>32</v>
      </c>
      <c r="D13" s="30" t="s">
        <v>65</v>
      </c>
      <c r="E13" s="31" t="s">
        <v>365</v>
      </c>
      <c r="F13" s="31"/>
      <c r="G13" s="31"/>
    </row>
    <row r="14" spans="1:7" ht="139.5" customHeight="1" x14ac:dyDescent="0.35">
      <c r="A14" s="27" t="s">
        <v>84</v>
      </c>
      <c r="B14" s="28" t="s">
        <v>85</v>
      </c>
      <c r="C14" s="29" t="s">
        <v>32</v>
      </c>
      <c r="D14" s="30" t="s">
        <v>65</v>
      </c>
      <c r="E14" s="49" t="s">
        <v>372</v>
      </c>
      <c r="F14" s="31"/>
      <c r="G14" s="31"/>
    </row>
    <row r="15" spans="1:7" ht="42" customHeight="1" x14ac:dyDescent="0.35">
      <c r="A15" s="32" t="s">
        <v>86</v>
      </c>
      <c r="B15" s="33" t="s">
        <v>87</v>
      </c>
      <c r="C15" s="34" t="s">
        <v>41</v>
      </c>
      <c r="D15" s="30" t="s">
        <v>65</v>
      </c>
      <c r="E15" s="31"/>
      <c r="F15" s="31"/>
      <c r="G15" s="31"/>
    </row>
    <row r="16" spans="1:7" ht="96" customHeight="1" x14ac:dyDescent="0.35">
      <c r="A16" s="27" t="s">
        <v>88</v>
      </c>
      <c r="B16" s="28" t="s">
        <v>89</v>
      </c>
      <c r="C16" s="34" t="s">
        <v>41</v>
      </c>
      <c r="D16" s="30" t="s">
        <v>65</v>
      </c>
      <c r="E16" s="31" t="s">
        <v>373</v>
      </c>
      <c r="F16" s="31"/>
      <c r="G16" s="31"/>
    </row>
    <row r="17" spans="1:7" ht="42" customHeight="1" x14ac:dyDescent="0.35">
      <c r="A17" s="32" t="s">
        <v>90</v>
      </c>
      <c r="B17" s="33" t="s">
        <v>91</v>
      </c>
      <c r="C17" s="29" t="s">
        <v>32</v>
      </c>
      <c r="D17" s="30" t="s">
        <v>65</v>
      </c>
      <c r="E17" s="31" t="s">
        <v>375</v>
      </c>
      <c r="F17" s="31"/>
      <c r="G17" s="31"/>
    </row>
    <row r="18" spans="1:7" ht="42" customHeight="1" x14ac:dyDescent="0.35">
      <c r="A18" s="27" t="s">
        <v>92</v>
      </c>
      <c r="B18" s="28" t="s">
        <v>93</v>
      </c>
      <c r="C18" s="34" t="s">
        <v>41</v>
      </c>
      <c r="D18" s="30" t="s">
        <v>65</v>
      </c>
      <c r="E18" s="31" t="s">
        <v>374</v>
      </c>
      <c r="F18" s="31"/>
      <c r="G18" s="31"/>
    </row>
    <row r="19" spans="1:7" ht="42" customHeight="1" x14ac:dyDescent="0.35">
      <c r="A19" s="32" t="s">
        <v>94</v>
      </c>
      <c r="B19" s="33" t="s">
        <v>95</v>
      </c>
      <c r="C19" s="29" t="s">
        <v>32</v>
      </c>
      <c r="D19" s="30" t="s">
        <v>65</v>
      </c>
      <c r="E19" s="31"/>
      <c r="F19" s="31"/>
      <c r="G19" s="31"/>
    </row>
    <row r="20" spans="1:7" ht="42" customHeight="1" x14ac:dyDescent="0.35">
      <c r="A20" s="27" t="s">
        <v>96</v>
      </c>
      <c r="B20" s="28" t="s">
        <v>97</v>
      </c>
      <c r="C20" s="34" t="s">
        <v>41</v>
      </c>
      <c r="D20" s="30" t="s">
        <v>65</v>
      </c>
      <c r="E20" s="31" t="s">
        <v>376</v>
      </c>
      <c r="F20" s="31"/>
      <c r="G20" s="31"/>
    </row>
    <row r="21" spans="1:7" ht="42" customHeight="1" x14ac:dyDescent="0.35">
      <c r="A21" s="32" t="s">
        <v>98</v>
      </c>
      <c r="B21" s="33" t="s">
        <v>99</v>
      </c>
      <c r="C21" s="34" t="s">
        <v>41</v>
      </c>
      <c r="D21" s="30" t="s">
        <v>65</v>
      </c>
      <c r="E21" s="31" t="s">
        <v>377</v>
      </c>
      <c r="F21" s="31"/>
      <c r="G21" s="31"/>
    </row>
    <row r="22" spans="1:7" ht="42" customHeight="1" x14ac:dyDescent="0.35">
      <c r="A22" s="27" t="s">
        <v>100</v>
      </c>
      <c r="B22" s="28" t="s">
        <v>101</v>
      </c>
      <c r="C22" s="34" t="s">
        <v>41</v>
      </c>
      <c r="D22" s="30" t="s">
        <v>65</v>
      </c>
      <c r="E22" s="31" t="s">
        <v>378</v>
      </c>
      <c r="F22" s="31"/>
      <c r="G22" s="31"/>
    </row>
    <row r="23" spans="1:7" ht="42" customHeight="1" x14ac:dyDescent="0.35">
      <c r="A23" s="32" t="s">
        <v>102</v>
      </c>
      <c r="B23" s="33" t="s">
        <v>103</v>
      </c>
      <c r="C23" s="34" t="s">
        <v>41</v>
      </c>
      <c r="D23" s="30" t="s">
        <v>65</v>
      </c>
      <c r="E23" s="31" t="s">
        <v>378</v>
      </c>
      <c r="F23" s="31"/>
      <c r="G23" s="31"/>
    </row>
    <row r="24" spans="1:7" ht="42" customHeight="1" x14ac:dyDescent="0.35">
      <c r="A24" s="27" t="s">
        <v>104</v>
      </c>
      <c r="B24" s="28" t="s">
        <v>105</v>
      </c>
      <c r="C24" s="35" t="s">
        <v>43</v>
      </c>
      <c r="D24" s="30" t="s">
        <v>65</v>
      </c>
      <c r="E24" s="31" t="s">
        <v>378</v>
      </c>
      <c r="F24" s="31"/>
      <c r="G24" s="31"/>
    </row>
  </sheetData>
  <autoFilter ref="A3:G24" xr:uid="{00000000-0009-0000-0000-000002000000}"/>
  <mergeCells count="1">
    <mergeCell ref="A1:G1"/>
  </mergeCells>
  <dataValidations count="1">
    <dataValidation type="list" sqref="D4:D24" xr:uid="{00000000-0002-0000-0200-000000000000}">
      <formula1>"Chưa trả lời,Đã trả lời,Không áp dụng"</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
  <sheetViews>
    <sheetView showGridLines="0" zoomScaleNormal="100" workbookViewId="0">
      <pane xSplit="2" ySplit="4" topLeftCell="C20" activePane="bottomRight" state="frozen"/>
      <selection pane="topRight" activeCell="C1" sqref="C1"/>
      <selection pane="bottomLeft" activeCell="A5" sqref="A5"/>
      <selection pane="bottomRight" activeCell="E28" sqref="E28"/>
    </sheetView>
  </sheetViews>
  <sheetFormatPr defaultColWidth="8.6328125" defaultRowHeight="14.5" x14ac:dyDescent="0.35"/>
  <cols>
    <col min="1" max="1" width="9" customWidth="1"/>
    <col min="2" max="2" width="92" customWidth="1"/>
    <col min="3" max="3" width="11" customWidth="1"/>
    <col min="4" max="4" width="16" customWidth="1"/>
    <col min="5" max="5" width="52" customWidth="1"/>
    <col min="6" max="6" width="30" customWidth="1"/>
    <col min="7" max="7" width="26" customWidth="1"/>
  </cols>
  <sheetData>
    <row r="1" spans="1:7" ht="25.5" customHeight="1" x14ac:dyDescent="0.35">
      <c r="A1" s="4" t="s">
        <v>106</v>
      </c>
      <c r="B1" s="4"/>
      <c r="C1" s="4"/>
      <c r="D1" s="4"/>
      <c r="E1" s="4"/>
      <c r="F1" s="4"/>
      <c r="G1" s="4"/>
    </row>
    <row r="2" spans="1:7" ht="30" customHeight="1" x14ac:dyDescent="0.35">
      <c r="A2" s="3" t="s">
        <v>107</v>
      </c>
      <c r="B2" s="3"/>
      <c r="C2" s="3"/>
      <c r="D2" s="3"/>
      <c r="E2" s="3"/>
      <c r="F2" s="3"/>
      <c r="G2" s="3"/>
    </row>
    <row r="4" spans="1:7" ht="24" customHeight="1" x14ac:dyDescent="0.35">
      <c r="A4" s="8" t="s">
        <v>15</v>
      </c>
      <c r="B4" s="8" t="s">
        <v>17</v>
      </c>
      <c r="C4" s="8" t="s">
        <v>19</v>
      </c>
      <c r="D4" s="8" t="s">
        <v>21</v>
      </c>
      <c r="E4" s="8" t="s">
        <v>23</v>
      </c>
      <c r="F4" s="8" t="s">
        <v>25</v>
      </c>
      <c r="G4" s="8" t="s">
        <v>27</v>
      </c>
    </row>
    <row r="5" spans="1:7" ht="42" customHeight="1" x14ac:dyDescent="0.35">
      <c r="A5" s="27" t="s">
        <v>108</v>
      </c>
      <c r="B5" s="28" t="s">
        <v>109</v>
      </c>
      <c r="C5" s="29" t="s">
        <v>32</v>
      </c>
      <c r="D5" s="30" t="s">
        <v>51</v>
      </c>
      <c r="E5" s="31"/>
      <c r="F5" s="31"/>
      <c r="G5" s="31"/>
    </row>
    <row r="6" spans="1:7" ht="42" customHeight="1" x14ac:dyDescent="0.35">
      <c r="A6" s="32" t="s">
        <v>110</v>
      </c>
      <c r="B6" s="33" t="s">
        <v>111</v>
      </c>
      <c r="C6" s="29" t="s">
        <v>32</v>
      </c>
      <c r="D6" s="30" t="s">
        <v>65</v>
      </c>
      <c r="E6" s="31" t="s">
        <v>379</v>
      </c>
      <c r="F6" s="31"/>
      <c r="G6" s="31"/>
    </row>
    <row r="7" spans="1:7" ht="42" customHeight="1" x14ac:dyDescent="0.35">
      <c r="A7" s="27" t="s">
        <v>112</v>
      </c>
      <c r="B7" s="28" t="s">
        <v>113</v>
      </c>
      <c r="C7" s="29" t="s">
        <v>32</v>
      </c>
      <c r="D7" s="30" t="s">
        <v>51</v>
      </c>
      <c r="E7" s="31"/>
      <c r="F7" s="31"/>
      <c r="G7" s="31"/>
    </row>
    <row r="8" spans="1:7" ht="42" customHeight="1" x14ac:dyDescent="0.35">
      <c r="A8" s="32" t="s">
        <v>114</v>
      </c>
      <c r="B8" s="33" t="s">
        <v>115</v>
      </c>
      <c r="C8" s="29" t="s">
        <v>32</v>
      </c>
      <c r="D8" s="30" t="s">
        <v>65</v>
      </c>
      <c r="E8" s="31" t="s">
        <v>380</v>
      </c>
      <c r="F8" s="31"/>
      <c r="G8" s="31"/>
    </row>
    <row r="9" spans="1:7" ht="42" customHeight="1" x14ac:dyDescent="0.35">
      <c r="A9" s="27" t="s">
        <v>116</v>
      </c>
      <c r="B9" s="28" t="s">
        <v>117</v>
      </c>
      <c r="C9" s="29" t="s">
        <v>32</v>
      </c>
      <c r="D9" s="30" t="s">
        <v>65</v>
      </c>
      <c r="E9" s="31" t="s">
        <v>381</v>
      </c>
      <c r="F9" s="31"/>
      <c r="G9" s="31"/>
    </row>
    <row r="10" spans="1:7" ht="42" customHeight="1" x14ac:dyDescent="0.35">
      <c r="A10" s="32" t="s">
        <v>118</v>
      </c>
      <c r="B10" s="33" t="s">
        <v>119</v>
      </c>
      <c r="C10" s="29" t="s">
        <v>32</v>
      </c>
      <c r="D10" s="30" t="s">
        <v>51</v>
      </c>
      <c r="E10" s="31"/>
      <c r="F10" s="31"/>
      <c r="G10" s="31"/>
    </row>
    <row r="11" spans="1:7" ht="42" customHeight="1" x14ac:dyDescent="0.35">
      <c r="A11" s="27" t="s">
        <v>120</v>
      </c>
      <c r="B11" s="28" t="s">
        <v>121</v>
      </c>
      <c r="C11" s="29" t="s">
        <v>32</v>
      </c>
      <c r="D11" s="30" t="s">
        <v>51</v>
      </c>
      <c r="E11" s="31"/>
      <c r="F11" s="31"/>
      <c r="G11" s="31"/>
    </row>
    <row r="12" spans="1:7" ht="42" customHeight="1" x14ac:dyDescent="0.35">
      <c r="A12" s="32" t="s">
        <v>122</v>
      </c>
      <c r="B12" s="33" t="s">
        <v>123</v>
      </c>
      <c r="C12" s="29" t="s">
        <v>32</v>
      </c>
      <c r="D12" s="30" t="s">
        <v>51</v>
      </c>
      <c r="E12" s="31"/>
      <c r="F12" s="31"/>
      <c r="G12" s="31"/>
    </row>
    <row r="13" spans="1:7" ht="42" customHeight="1" x14ac:dyDescent="0.35">
      <c r="A13" s="27" t="s">
        <v>124</v>
      </c>
      <c r="B13" s="28" t="s">
        <v>125</v>
      </c>
      <c r="C13" s="29" t="s">
        <v>32</v>
      </c>
      <c r="D13" s="30" t="s">
        <v>65</v>
      </c>
      <c r="E13" s="31" t="s">
        <v>382</v>
      </c>
      <c r="F13" s="31"/>
      <c r="G13" s="31"/>
    </row>
    <row r="14" spans="1:7" ht="42" customHeight="1" x14ac:dyDescent="0.35">
      <c r="A14" s="32" t="s">
        <v>126</v>
      </c>
      <c r="B14" s="33" t="s">
        <v>127</v>
      </c>
      <c r="C14" s="34" t="s">
        <v>41</v>
      </c>
      <c r="D14" s="30" t="s">
        <v>65</v>
      </c>
      <c r="E14" s="31" t="s">
        <v>378</v>
      </c>
      <c r="F14" s="31"/>
      <c r="G14" s="31"/>
    </row>
    <row r="15" spans="1:7" ht="42" customHeight="1" x14ac:dyDescent="0.35">
      <c r="A15" s="27" t="s">
        <v>128</v>
      </c>
      <c r="B15" s="28" t="s">
        <v>129</v>
      </c>
      <c r="C15" s="29" t="s">
        <v>32</v>
      </c>
      <c r="D15" s="30" t="s">
        <v>65</v>
      </c>
      <c r="E15" s="31" t="s">
        <v>376</v>
      </c>
      <c r="F15" s="31"/>
      <c r="G15" s="31"/>
    </row>
    <row r="16" spans="1:7" ht="42" customHeight="1" x14ac:dyDescent="0.35">
      <c r="A16" s="32" t="s">
        <v>130</v>
      </c>
      <c r="B16" s="33" t="s">
        <v>131</v>
      </c>
      <c r="C16" s="29" t="s">
        <v>32</v>
      </c>
      <c r="D16" s="30" t="s">
        <v>51</v>
      </c>
      <c r="E16" s="31"/>
      <c r="F16" s="31"/>
      <c r="G16" s="31"/>
    </row>
    <row r="17" spans="1:7" ht="42" customHeight="1" x14ac:dyDescent="0.35">
      <c r="A17" s="27" t="s">
        <v>132</v>
      </c>
      <c r="B17" s="28" t="s">
        <v>133</v>
      </c>
      <c r="C17" s="29" t="s">
        <v>32</v>
      </c>
      <c r="D17" s="30" t="s">
        <v>51</v>
      </c>
      <c r="E17" s="31"/>
      <c r="F17" s="31"/>
      <c r="G17" s="31"/>
    </row>
    <row r="18" spans="1:7" ht="42" customHeight="1" x14ac:dyDescent="0.35">
      <c r="A18" s="32" t="s">
        <v>134</v>
      </c>
      <c r="B18" s="33" t="s">
        <v>135</v>
      </c>
      <c r="C18" s="29" t="s">
        <v>32</v>
      </c>
      <c r="D18" s="30" t="s">
        <v>65</v>
      </c>
      <c r="E18" s="31" t="s">
        <v>383</v>
      </c>
      <c r="F18" s="31"/>
      <c r="G18" s="31"/>
    </row>
    <row r="19" spans="1:7" ht="42" customHeight="1" x14ac:dyDescent="0.35">
      <c r="A19" s="27" t="s">
        <v>136</v>
      </c>
      <c r="B19" s="28" t="s">
        <v>137</v>
      </c>
      <c r="C19" s="29" t="s">
        <v>32</v>
      </c>
      <c r="D19" s="30" t="s">
        <v>65</v>
      </c>
      <c r="E19" s="31" t="s">
        <v>376</v>
      </c>
      <c r="F19" s="31"/>
      <c r="G19" s="31"/>
    </row>
    <row r="20" spans="1:7" ht="42" customHeight="1" x14ac:dyDescent="0.35">
      <c r="A20" s="32" t="s">
        <v>138</v>
      </c>
      <c r="B20" s="33" t="s">
        <v>139</v>
      </c>
      <c r="C20" s="29" t="s">
        <v>32</v>
      </c>
      <c r="D20" s="30" t="s">
        <v>65</v>
      </c>
      <c r="E20" s="31" t="s">
        <v>384</v>
      </c>
      <c r="F20" s="31"/>
      <c r="G20" s="31"/>
    </row>
    <row r="21" spans="1:7" ht="42" customHeight="1" x14ac:dyDescent="0.35">
      <c r="A21" s="27" t="s">
        <v>140</v>
      </c>
      <c r="B21" s="28" t="s">
        <v>141</v>
      </c>
      <c r="C21" s="29" t="s">
        <v>32</v>
      </c>
      <c r="D21" s="30" t="s">
        <v>65</v>
      </c>
      <c r="E21" s="31" t="s">
        <v>385</v>
      </c>
      <c r="F21" s="31"/>
      <c r="G21" s="31"/>
    </row>
    <row r="22" spans="1:7" ht="42" customHeight="1" x14ac:dyDescent="0.35">
      <c r="A22" s="32" t="s">
        <v>142</v>
      </c>
      <c r="B22" s="33" t="s">
        <v>143</v>
      </c>
      <c r="C22" s="29" t="s">
        <v>32</v>
      </c>
      <c r="D22" s="30" t="s">
        <v>65</v>
      </c>
      <c r="E22" s="31" t="s">
        <v>386</v>
      </c>
      <c r="F22" s="31"/>
      <c r="G22" s="31"/>
    </row>
    <row r="23" spans="1:7" ht="42" customHeight="1" x14ac:dyDescent="0.35">
      <c r="A23" s="27" t="s">
        <v>144</v>
      </c>
      <c r="B23" s="28" t="s">
        <v>145</v>
      </c>
      <c r="C23" s="34" t="s">
        <v>41</v>
      </c>
      <c r="D23" s="30" t="s">
        <v>51</v>
      </c>
      <c r="E23" s="31" t="s">
        <v>387</v>
      </c>
      <c r="F23" s="31"/>
      <c r="G23" s="31"/>
    </row>
    <row r="24" spans="1:7" ht="42" customHeight="1" x14ac:dyDescent="0.35">
      <c r="A24" s="32" t="s">
        <v>146</v>
      </c>
      <c r="B24" s="33" t="s">
        <v>147</v>
      </c>
      <c r="C24" s="34" t="s">
        <v>41</v>
      </c>
      <c r="D24" s="30" t="s">
        <v>51</v>
      </c>
      <c r="E24" s="31"/>
      <c r="F24" s="31"/>
      <c r="G24" s="31"/>
    </row>
    <row r="25" spans="1:7" ht="42" customHeight="1" x14ac:dyDescent="0.35">
      <c r="A25" s="27" t="s">
        <v>148</v>
      </c>
      <c r="B25" s="28" t="s">
        <v>149</v>
      </c>
      <c r="C25" s="34" t="s">
        <v>41</v>
      </c>
      <c r="D25" s="30" t="s">
        <v>65</v>
      </c>
      <c r="E25" s="31" t="s">
        <v>376</v>
      </c>
      <c r="F25" s="31"/>
      <c r="G25" s="31"/>
    </row>
    <row r="26" spans="1:7" ht="42" customHeight="1" x14ac:dyDescent="0.35">
      <c r="A26" s="32" t="s">
        <v>150</v>
      </c>
      <c r="B26" s="33" t="s">
        <v>151</v>
      </c>
      <c r="C26" s="29" t="s">
        <v>32</v>
      </c>
      <c r="D26" s="30" t="s">
        <v>65</v>
      </c>
      <c r="E26" s="31" t="s">
        <v>388</v>
      </c>
      <c r="F26" s="31"/>
      <c r="G26" s="31"/>
    </row>
    <row r="27" spans="1:7" ht="42" customHeight="1" x14ac:dyDescent="0.35">
      <c r="A27" s="27" t="s">
        <v>152</v>
      </c>
      <c r="B27" s="28" t="s">
        <v>153</v>
      </c>
      <c r="C27" s="29" t="s">
        <v>32</v>
      </c>
      <c r="D27" s="30" t="s">
        <v>65</v>
      </c>
      <c r="E27" s="31" t="s">
        <v>376</v>
      </c>
      <c r="F27" s="31"/>
      <c r="G27" s="31"/>
    </row>
    <row r="29" spans="1:7" ht="45.75" customHeight="1" x14ac:dyDescent="0.35">
      <c r="A29" s="3" t="s">
        <v>154</v>
      </c>
      <c r="B29" s="3"/>
      <c r="C29" s="3"/>
      <c r="D29" s="3"/>
      <c r="E29" s="3"/>
      <c r="F29" s="3"/>
      <c r="G29" s="3"/>
    </row>
  </sheetData>
  <autoFilter ref="A4:G27" xr:uid="{00000000-0009-0000-0000-000003000000}"/>
  <mergeCells count="3">
    <mergeCell ref="A1:G1"/>
    <mergeCell ref="A2:G2"/>
    <mergeCell ref="A29:G29"/>
  </mergeCells>
  <dataValidations count="1">
    <dataValidation type="list" sqref="D5:D27" xr:uid="{00000000-0002-0000-0300-000000000000}">
      <formula1>"Chưa trả lời,Đã trả lời,Không áp dụng"</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19CB4-ADED-4B63-A145-4FC3E3EC69D0}">
  <dimension ref="A1:G32"/>
  <sheetViews>
    <sheetView showGridLines="0" tabSelected="1" zoomScale="130" zoomScaleNormal="130" workbookViewId="0">
      <pane xSplit="2" ySplit="6" topLeftCell="C28" activePane="bottomRight" state="frozen"/>
      <selection sqref="A1:G1"/>
      <selection pane="topRight" sqref="A1:G1"/>
      <selection pane="bottomLeft" sqref="A1:G1"/>
      <selection pane="bottomRight" activeCell="B36" sqref="B36"/>
    </sheetView>
  </sheetViews>
  <sheetFormatPr defaultColWidth="8.6328125" defaultRowHeight="14.5" x14ac:dyDescent="0.35"/>
  <cols>
    <col min="1" max="1" width="9" customWidth="1"/>
    <col min="2" max="2" width="92" customWidth="1"/>
    <col min="3" max="3" width="11" customWidth="1"/>
    <col min="4" max="4" width="16" customWidth="1"/>
    <col min="5" max="5" width="52" customWidth="1"/>
    <col min="6" max="6" width="30" customWidth="1"/>
    <col min="7" max="7" width="26" customWidth="1"/>
  </cols>
  <sheetData>
    <row r="1" spans="1:7" ht="25.5" customHeight="1" x14ac:dyDescent="0.35">
      <c r="A1" s="55" t="s">
        <v>155</v>
      </c>
      <c r="B1" s="55"/>
      <c r="C1" s="55"/>
      <c r="D1" s="55"/>
      <c r="E1" s="55"/>
      <c r="F1" s="55"/>
      <c r="G1" s="55"/>
    </row>
    <row r="2" spans="1:7" ht="30" customHeight="1" x14ac:dyDescent="0.35">
      <c r="A2" s="56" t="s">
        <v>156</v>
      </c>
      <c r="B2" s="56"/>
      <c r="C2" s="56"/>
      <c r="D2" s="56"/>
      <c r="E2" s="56"/>
      <c r="F2" s="56"/>
      <c r="G2" s="56"/>
    </row>
    <row r="4" spans="1:7" x14ac:dyDescent="0.35">
      <c r="A4" s="57" t="s">
        <v>157</v>
      </c>
      <c r="B4" s="58" t="s">
        <v>158</v>
      </c>
      <c r="C4" s="58"/>
    </row>
    <row r="6" spans="1:7" ht="24" customHeight="1" x14ac:dyDescent="0.35">
      <c r="A6" s="59" t="s">
        <v>15</v>
      </c>
      <c r="B6" s="59" t="s">
        <v>17</v>
      </c>
      <c r="C6" s="59" t="s">
        <v>19</v>
      </c>
      <c r="D6" s="59" t="s">
        <v>21</v>
      </c>
      <c r="E6" s="59" t="s">
        <v>23</v>
      </c>
      <c r="F6" s="59" t="s">
        <v>25</v>
      </c>
      <c r="G6" s="59" t="s">
        <v>27</v>
      </c>
    </row>
    <row r="7" spans="1:7" ht="21.75" customHeight="1" x14ac:dyDescent="0.35">
      <c r="A7" s="60" t="s">
        <v>159</v>
      </c>
      <c r="B7" s="60"/>
      <c r="C7" s="60"/>
      <c r="D7" s="60"/>
      <c r="E7" s="60"/>
      <c r="F7" s="60"/>
      <c r="G7" s="60"/>
    </row>
    <row r="8" spans="1:7" ht="42" customHeight="1" x14ac:dyDescent="0.35">
      <c r="A8" s="61" t="s">
        <v>160</v>
      </c>
      <c r="B8" s="50" t="s">
        <v>161</v>
      </c>
      <c r="C8" s="62" t="s">
        <v>41</v>
      </c>
      <c r="D8" s="63" t="s">
        <v>33</v>
      </c>
      <c r="E8" s="49" t="s">
        <v>398</v>
      </c>
      <c r="F8" s="49"/>
      <c r="G8" s="49"/>
    </row>
    <row r="9" spans="1:7" ht="42" customHeight="1" x14ac:dyDescent="0.35">
      <c r="A9" s="64" t="s">
        <v>162</v>
      </c>
      <c r="B9" s="51" t="s">
        <v>163</v>
      </c>
      <c r="C9" s="65" t="s">
        <v>32</v>
      </c>
      <c r="D9" s="63" t="s">
        <v>33</v>
      </c>
      <c r="E9" s="49" t="s">
        <v>399</v>
      </c>
      <c r="F9" s="49"/>
      <c r="G9" s="49"/>
    </row>
    <row r="10" spans="1:7" ht="42" customHeight="1" x14ac:dyDescent="0.35">
      <c r="A10" s="61" t="s">
        <v>164</v>
      </c>
      <c r="B10" s="50" t="s">
        <v>165</v>
      </c>
      <c r="C10" s="65" t="s">
        <v>32</v>
      </c>
      <c r="D10" s="63" t="s">
        <v>33</v>
      </c>
      <c r="E10" s="49" t="s">
        <v>400</v>
      </c>
      <c r="F10" s="49"/>
      <c r="G10" s="49"/>
    </row>
    <row r="11" spans="1:7" ht="42" customHeight="1" x14ac:dyDescent="0.35">
      <c r="A11" s="64" t="s">
        <v>166</v>
      </c>
      <c r="B11" s="51" t="s">
        <v>167</v>
      </c>
      <c r="C11" s="65" t="s">
        <v>32</v>
      </c>
      <c r="D11" s="63" t="s">
        <v>33</v>
      </c>
      <c r="E11" s="49" t="s">
        <v>401</v>
      </c>
      <c r="F11" s="49"/>
      <c r="G11" s="49"/>
    </row>
    <row r="12" spans="1:7" ht="42" customHeight="1" x14ac:dyDescent="0.35">
      <c r="A12" s="61" t="s">
        <v>168</v>
      </c>
      <c r="B12" s="50" t="s">
        <v>169</v>
      </c>
      <c r="C12" s="65" t="s">
        <v>32</v>
      </c>
      <c r="D12" s="63" t="s">
        <v>33</v>
      </c>
      <c r="E12" s="49" t="s">
        <v>402</v>
      </c>
      <c r="F12" s="49"/>
      <c r="G12" s="49"/>
    </row>
    <row r="13" spans="1:7" ht="42" customHeight="1" x14ac:dyDescent="0.35">
      <c r="A13" s="64" t="s">
        <v>170</v>
      </c>
      <c r="B13" s="51" t="s">
        <v>171</v>
      </c>
      <c r="C13" s="65" t="s">
        <v>32</v>
      </c>
      <c r="D13" s="63" t="s">
        <v>33</v>
      </c>
      <c r="E13" s="49" t="s">
        <v>403</v>
      </c>
      <c r="F13" s="49"/>
      <c r="G13" s="49"/>
    </row>
    <row r="14" spans="1:7" ht="42" customHeight="1" x14ac:dyDescent="0.35">
      <c r="A14" s="61" t="s">
        <v>172</v>
      </c>
      <c r="B14" s="50" t="s">
        <v>173</v>
      </c>
      <c r="C14" s="65" t="s">
        <v>32</v>
      </c>
      <c r="D14" s="63" t="s">
        <v>33</v>
      </c>
      <c r="E14" s="49" t="s">
        <v>404</v>
      </c>
      <c r="F14" s="49"/>
      <c r="G14" s="49"/>
    </row>
    <row r="15" spans="1:7" ht="42" customHeight="1" x14ac:dyDescent="0.35">
      <c r="A15" s="64" t="s">
        <v>174</v>
      </c>
      <c r="B15" s="51" t="s">
        <v>175</v>
      </c>
      <c r="C15" s="65" t="s">
        <v>32</v>
      </c>
      <c r="D15" s="63" t="s">
        <v>33</v>
      </c>
      <c r="E15" s="49" t="s">
        <v>405</v>
      </c>
      <c r="F15" s="49"/>
      <c r="G15" s="49"/>
    </row>
    <row r="16" spans="1:7" ht="42" customHeight="1" x14ac:dyDescent="0.35">
      <c r="A16" s="61" t="s">
        <v>176</v>
      </c>
      <c r="B16" s="50" t="s">
        <v>177</v>
      </c>
      <c r="C16" s="62" t="s">
        <v>41</v>
      </c>
      <c r="D16" s="63" t="s">
        <v>33</v>
      </c>
      <c r="E16" s="49" t="s">
        <v>406</v>
      </c>
      <c r="F16" s="49"/>
      <c r="G16" s="49"/>
    </row>
    <row r="17" spans="1:7" ht="42" customHeight="1" x14ac:dyDescent="0.35">
      <c r="A17" s="64" t="s">
        <v>178</v>
      </c>
      <c r="B17" s="51" t="s">
        <v>179</v>
      </c>
      <c r="C17" s="65" t="s">
        <v>32</v>
      </c>
      <c r="D17" s="63" t="s">
        <v>33</v>
      </c>
      <c r="E17" s="49" t="s">
        <v>407</v>
      </c>
      <c r="F17" s="49"/>
      <c r="G17" s="49"/>
    </row>
    <row r="18" spans="1:7" ht="42" customHeight="1" x14ac:dyDescent="0.35">
      <c r="A18" s="61" t="s">
        <v>180</v>
      </c>
      <c r="B18" s="50" t="s">
        <v>181</v>
      </c>
      <c r="C18" s="62" t="s">
        <v>41</v>
      </c>
      <c r="D18" s="63" t="s">
        <v>33</v>
      </c>
      <c r="E18" s="49" t="s">
        <v>408</v>
      </c>
      <c r="F18" s="49"/>
      <c r="G18" s="49"/>
    </row>
    <row r="19" spans="1:7" ht="42" customHeight="1" x14ac:dyDescent="0.35">
      <c r="A19" s="64" t="s">
        <v>182</v>
      </c>
      <c r="B19" s="51" t="s">
        <v>183</v>
      </c>
      <c r="C19" s="62" t="s">
        <v>41</v>
      </c>
      <c r="D19" s="63" t="s">
        <v>33</v>
      </c>
      <c r="E19" s="49" t="s">
        <v>409</v>
      </c>
      <c r="F19" s="49"/>
      <c r="G19" s="49"/>
    </row>
    <row r="20" spans="1:7" ht="42" customHeight="1" x14ac:dyDescent="0.35">
      <c r="A20" s="61" t="s">
        <v>184</v>
      </c>
      <c r="B20" s="50" t="s">
        <v>185</v>
      </c>
      <c r="C20" s="65" t="s">
        <v>32</v>
      </c>
      <c r="D20" s="63" t="s">
        <v>33</v>
      </c>
      <c r="E20" s="49" t="s">
        <v>410</v>
      </c>
      <c r="F20" s="49"/>
      <c r="G20" s="49"/>
    </row>
    <row r="21" spans="1:7" ht="21.75" customHeight="1" x14ac:dyDescent="0.35">
      <c r="A21" s="60" t="s">
        <v>186</v>
      </c>
      <c r="B21" s="60"/>
      <c r="C21" s="60"/>
      <c r="D21" s="60"/>
      <c r="E21" s="60"/>
      <c r="F21" s="60"/>
      <c r="G21" s="60"/>
    </row>
    <row r="22" spans="1:7" ht="42" customHeight="1" x14ac:dyDescent="0.35">
      <c r="A22" s="61" t="s">
        <v>187</v>
      </c>
      <c r="B22" s="50" t="s">
        <v>188</v>
      </c>
      <c r="C22" s="65" t="s">
        <v>32</v>
      </c>
      <c r="D22" s="63" t="s">
        <v>33</v>
      </c>
      <c r="E22" s="49" t="s">
        <v>411</v>
      </c>
      <c r="F22" s="49"/>
      <c r="G22" s="49"/>
    </row>
    <row r="23" spans="1:7" ht="42" customHeight="1" x14ac:dyDescent="0.35">
      <c r="A23" s="64" t="s">
        <v>189</v>
      </c>
      <c r="B23" s="51" t="s">
        <v>190</v>
      </c>
      <c r="C23" s="65" t="s">
        <v>32</v>
      </c>
      <c r="D23" s="63" t="s">
        <v>33</v>
      </c>
      <c r="E23" s="49" t="s">
        <v>411</v>
      </c>
      <c r="F23" s="49"/>
      <c r="G23" s="49"/>
    </row>
    <row r="24" spans="1:7" ht="42" customHeight="1" x14ac:dyDescent="0.35">
      <c r="A24" s="61" t="s">
        <v>191</v>
      </c>
      <c r="B24" s="50" t="s">
        <v>192</v>
      </c>
      <c r="C24" s="65" t="s">
        <v>32</v>
      </c>
      <c r="D24" s="63" t="s">
        <v>33</v>
      </c>
      <c r="E24" s="49" t="s">
        <v>411</v>
      </c>
      <c r="F24" s="49"/>
      <c r="G24" s="49"/>
    </row>
    <row r="25" spans="1:7" ht="42" customHeight="1" x14ac:dyDescent="0.35">
      <c r="A25" s="64" t="s">
        <v>193</v>
      </c>
      <c r="B25" s="51" t="s">
        <v>194</v>
      </c>
      <c r="C25" s="62" t="s">
        <v>41</v>
      </c>
      <c r="D25" s="63" t="s">
        <v>33</v>
      </c>
      <c r="E25" s="49" t="s">
        <v>411</v>
      </c>
      <c r="F25" s="49"/>
      <c r="G25" s="49"/>
    </row>
    <row r="26" spans="1:7" ht="42" customHeight="1" x14ac:dyDescent="0.35">
      <c r="A26" s="61" t="s">
        <v>195</v>
      </c>
      <c r="B26" s="50" t="s">
        <v>196</v>
      </c>
      <c r="C26" s="62" t="s">
        <v>41</v>
      </c>
      <c r="D26" s="63" t="s">
        <v>33</v>
      </c>
      <c r="E26" s="49" t="s">
        <v>411</v>
      </c>
      <c r="F26" s="49"/>
      <c r="G26" s="49"/>
    </row>
    <row r="27" spans="1:7" ht="42" customHeight="1" x14ac:dyDescent="0.35">
      <c r="A27" s="64" t="s">
        <v>197</v>
      </c>
      <c r="B27" s="51" t="s">
        <v>198</v>
      </c>
      <c r="C27" s="62" t="s">
        <v>41</v>
      </c>
      <c r="D27" s="63" t="s">
        <v>33</v>
      </c>
      <c r="E27" s="49" t="s">
        <v>412</v>
      </c>
      <c r="F27" s="49"/>
      <c r="G27" s="49"/>
    </row>
    <row r="28" spans="1:7" ht="21.75" customHeight="1" x14ac:dyDescent="0.35">
      <c r="A28" s="60" t="s">
        <v>199</v>
      </c>
      <c r="B28" s="60"/>
      <c r="C28" s="60"/>
      <c r="D28" s="60"/>
      <c r="E28" s="60"/>
      <c r="F28" s="60"/>
      <c r="G28" s="60"/>
    </row>
    <row r="29" spans="1:7" ht="42" customHeight="1" x14ac:dyDescent="0.35">
      <c r="A29" s="61" t="s">
        <v>200</v>
      </c>
      <c r="B29" s="50" t="s">
        <v>201</v>
      </c>
      <c r="C29" s="65" t="s">
        <v>32</v>
      </c>
      <c r="D29" s="63" t="s">
        <v>33</v>
      </c>
      <c r="E29" s="49" t="s">
        <v>408</v>
      </c>
      <c r="F29" s="49"/>
      <c r="G29" s="49"/>
    </row>
    <row r="30" spans="1:7" ht="42" customHeight="1" x14ac:dyDescent="0.35">
      <c r="A30" s="64" t="s">
        <v>202</v>
      </c>
      <c r="B30" s="51" t="s">
        <v>203</v>
      </c>
      <c r="C30" s="65" t="s">
        <v>32</v>
      </c>
      <c r="D30" s="63" t="s">
        <v>33</v>
      </c>
      <c r="E30" s="49" t="s">
        <v>408</v>
      </c>
      <c r="F30" s="49"/>
      <c r="G30" s="49"/>
    </row>
    <row r="31" spans="1:7" ht="42" customHeight="1" x14ac:dyDescent="0.35">
      <c r="A31" s="61" t="s">
        <v>204</v>
      </c>
      <c r="B31" s="50" t="s">
        <v>205</v>
      </c>
      <c r="C31" s="65" t="s">
        <v>32</v>
      </c>
      <c r="D31" s="63" t="s">
        <v>33</v>
      </c>
      <c r="E31" s="49" t="s">
        <v>408</v>
      </c>
      <c r="F31" s="49"/>
      <c r="G31" s="49"/>
    </row>
    <row r="32" spans="1:7" ht="42" customHeight="1" x14ac:dyDescent="0.35">
      <c r="A32" s="64" t="s">
        <v>206</v>
      </c>
      <c r="B32" s="51" t="s">
        <v>207</v>
      </c>
      <c r="C32" s="65" t="s">
        <v>32</v>
      </c>
      <c r="D32" s="63" t="s">
        <v>33</v>
      </c>
      <c r="E32" s="49" t="s">
        <v>413</v>
      </c>
      <c r="F32" s="49"/>
      <c r="G32" s="49"/>
    </row>
  </sheetData>
  <mergeCells count="6">
    <mergeCell ref="A1:G1"/>
    <mergeCell ref="A2:G2"/>
    <mergeCell ref="B4:C4"/>
    <mergeCell ref="A7:G7"/>
    <mergeCell ref="A21:G21"/>
    <mergeCell ref="A28:G28"/>
  </mergeCells>
  <dataValidations count="1">
    <dataValidation type="list" sqref="D22:D27 D8:D20 D29:D32" xr:uid="{E0DA013A-7AB1-4DA4-9966-AD8B4FC41D01}">
      <formula1>"Chưa trả lời,Đã trả lời,Không áp dụng"</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C98F-1486-425E-B6DD-2830E4D144ED}">
  <dimension ref="A1:G17"/>
  <sheetViews>
    <sheetView showGridLines="0" zoomScaleNormal="100" workbookViewId="0">
      <pane xSplit="2" ySplit="3" topLeftCell="C4" activePane="bottomRight" state="frozen"/>
      <selection sqref="A1:G1"/>
      <selection pane="topRight" sqref="A1:G1"/>
      <selection pane="bottomLeft" sqref="A1:G1"/>
      <selection pane="bottomRight" activeCell="D4" sqref="D4:D17"/>
    </sheetView>
  </sheetViews>
  <sheetFormatPr defaultColWidth="8.6328125" defaultRowHeight="14.5" x14ac:dyDescent="0.35"/>
  <cols>
    <col min="1" max="1" width="9" customWidth="1"/>
    <col min="2" max="2" width="92" customWidth="1"/>
    <col min="3" max="3" width="11" customWidth="1"/>
    <col min="4" max="4" width="16" customWidth="1"/>
    <col min="5" max="5" width="52" customWidth="1"/>
    <col min="6" max="6" width="30" customWidth="1"/>
    <col min="7" max="7" width="26" customWidth="1"/>
  </cols>
  <sheetData>
    <row r="1" spans="1:7" ht="25.5" customHeight="1" x14ac:dyDescent="0.35">
      <c r="A1" s="55" t="s">
        <v>208</v>
      </c>
      <c r="B1" s="55"/>
      <c r="C1" s="55"/>
      <c r="D1" s="55"/>
      <c r="E1" s="55"/>
      <c r="F1" s="55"/>
      <c r="G1" s="55"/>
    </row>
    <row r="3" spans="1:7" ht="24" customHeight="1" x14ac:dyDescent="0.35">
      <c r="A3" s="59" t="s">
        <v>15</v>
      </c>
      <c r="B3" s="59" t="s">
        <v>17</v>
      </c>
      <c r="C3" s="59" t="s">
        <v>19</v>
      </c>
      <c r="D3" s="59" t="s">
        <v>21</v>
      </c>
      <c r="E3" s="59" t="s">
        <v>23</v>
      </c>
      <c r="F3" s="59" t="s">
        <v>25</v>
      </c>
      <c r="G3" s="59" t="s">
        <v>27</v>
      </c>
    </row>
    <row r="4" spans="1:7" ht="42" customHeight="1" x14ac:dyDescent="0.35">
      <c r="A4" s="61" t="s">
        <v>209</v>
      </c>
      <c r="B4" s="50" t="s">
        <v>210</v>
      </c>
      <c r="C4" s="65" t="s">
        <v>32</v>
      </c>
      <c r="D4" s="63" t="s">
        <v>33</v>
      </c>
      <c r="E4" s="49" t="s">
        <v>414</v>
      </c>
      <c r="F4" s="49"/>
      <c r="G4" s="49"/>
    </row>
    <row r="5" spans="1:7" ht="42" customHeight="1" x14ac:dyDescent="0.35">
      <c r="A5" s="64" t="s">
        <v>211</v>
      </c>
      <c r="B5" s="51" t="s">
        <v>212</v>
      </c>
      <c r="C5" s="65" t="s">
        <v>32</v>
      </c>
      <c r="D5" s="63" t="s">
        <v>33</v>
      </c>
      <c r="E5" s="49" t="s">
        <v>408</v>
      </c>
      <c r="F5" s="49"/>
      <c r="G5" s="49"/>
    </row>
    <row r="6" spans="1:7" ht="42" customHeight="1" x14ac:dyDescent="0.35">
      <c r="A6" s="61" t="s">
        <v>213</v>
      </c>
      <c r="B6" s="50" t="s">
        <v>214</v>
      </c>
      <c r="C6" s="65" t="s">
        <v>32</v>
      </c>
      <c r="D6" s="63" t="s">
        <v>33</v>
      </c>
      <c r="E6" s="49" t="s">
        <v>415</v>
      </c>
      <c r="F6" s="49"/>
      <c r="G6" s="49"/>
    </row>
    <row r="7" spans="1:7" ht="42" customHeight="1" x14ac:dyDescent="0.35">
      <c r="A7" s="64" t="s">
        <v>215</v>
      </c>
      <c r="B7" s="51" t="s">
        <v>216</v>
      </c>
      <c r="C7" s="62" t="s">
        <v>41</v>
      </c>
      <c r="D7" s="63" t="s">
        <v>33</v>
      </c>
      <c r="E7" s="49" t="s">
        <v>416</v>
      </c>
      <c r="F7" s="49"/>
      <c r="G7" s="49"/>
    </row>
    <row r="8" spans="1:7" ht="42" customHeight="1" x14ac:dyDescent="0.35">
      <c r="A8" s="61" t="s">
        <v>217</v>
      </c>
      <c r="B8" s="50" t="s">
        <v>218</v>
      </c>
      <c r="C8" s="62" t="s">
        <v>41</v>
      </c>
      <c r="D8" s="63" t="s">
        <v>33</v>
      </c>
      <c r="E8" s="49" t="s">
        <v>417</v>
      </c>
      <c r="F8" s="49"/>
      <c r="G8" s="49"/>
    </row>
    <row r="9" spans="1:7" ht="42" customHeight="1" x14ac:dyDescent="0.35">
      <c r="A9" s="64" t="s">
        <v>219</v>
      </c>
      <c r="B9" s="51" t="s">
        <v>220</v>
      </c>
      <c r="C9" s="62" t="s">
        <v>41</v>
      </c>
      <c r="D9" s="63" t="s">
        <v>33</v>
      </c>
      <c r="E9" s="49" t="s">
        <v>418</v>
      </c>
      <c r="F9" s="49"/>
      <c r="G9" s="49"/>
    </row>
    <row r="10" spans="1:7" ht="42" customHeight="1" x14ac:dyDescent="0.35">
      <c r="A10" s="61" t="s">
        <v>221</v>
      </c>
      <c r="B10" s="50" t="s">
        <v>222</v>
      </c>
      <c r="C10" s="62" t="s">
        <v>41</v>
      </c>
      <c r="D10" s="63" t="s">
        <v>33</v>
      </c>
      <c r="E10" s="49" t="s">
        <v>419</v>
      </c>
      <c r="F10" s="49"/>
      <c r="G10" s="49"/>
    </row>
    <row r="11" spans="1:7" ht="42" customHeight="1" x14ac:dyDescent="0.35">
      <c r="A11" s="64" t="s">
        <v>223</v>
      </c>
      <c r="B11" s="51" t="s">
        <v>224</v>
      </c>
      <c r="C11" s="62" t="s">
        <v>41</v>
      </c>
      <c r="D11" s="63" t="s">
        <v>33</v>
      </c>
      <c r="E11" s="49" t="s">
        <v>420</v>
      </c>
      <c r="F11" s="49"/>
      <c r="G11" s="49"/>
    </row>
    <row r="12" spans="1:7" ht="42" customHeight="1" x14ac:dyDescent="0.35">
      <c r="A12" s="61" t="s">
        <v>225</v>
      </c>
      <c r="B12" s="50" t="s">
        <v>226</v>
      </c>
      <c r="C12" s="62" t="s">
        <v>41</v>
      </c>
      <c r="D12" s="63" t="s">
        <v>33</v>
      </c>
      <c r="E12" s="49" t="s">
        <v>408</v>
      </c>
      <c r="F12" s="49"/>
      <c r="G12" s="49"/>
    </row>
    <row r="13" spans="1:7" ht="42" customHeight="1" x14ac:dyDescent="0.35">
      <c r="A13" s="64" t="s">
        <v>227</v>
      </c>
      <c r="B13" s="51" t="s">
        <v>228</v>
      </c>
      <c r="C13" s="62" t="s">
        <v>41</v>
      </c>
      <c r="D13" s="63" t="s">
        <v>33</v>
      </c>
      <c r="E13" s="49" t="s">
        <v>378</v>
      </c>
      <c r="F13" s="49"/>
      <c r="G13" s="49"/>
    </row>
    <row r="14" spans="1:7" ht="42" customHeight="1" x14ac:dyDescent="0.35">
      <c r="A14" s="61" t="s">
        <v>229</v>
      </c>
      <c r="B14" s="50" t="s">
        <v>230</v>
      </c>
      <c r="C14" s="62" t="s">
        <v>41</v>
      </c>
      <c r="D14" s="63" t="s">
        <v>33</v>
      </c>
      <c r="E14" s="49" t="s">
        <v>376</v>
      </c>
      <c r="F14" s="49"/>
      <c r="G14" s="49"/>
    </row>
    <row r="15" spans="1:7" ht="42" customHeight="1" x14ac:dyDescent="0.35">
      <c r="A15" s="64" t="s">
        <v>231</v>
      </c>
      <c r="B15" s="51" t="s">
        <v>232</v>
      </c>
      <c r="C15" s="65" t="s">
        <v>32</v>
      </c>
      <c r="D15" s="63" t="s">
        <v>33</v>
      </c>
      <c r="E15" s="49" t="s">
        <v>421</v>
      </c>
      <c r="F15" s="49"/>
      <c r="G15" s="49"/>
    </row>
    <row r="16" spans="1:7" ht="42" customHeight="1" x14ac:dyDescent="0.35">
      <c r="A16" s="61" t="s">
        <v>233</v>
      </c>
      <c r="B16" s="50" t="s">
        <v>234</v>
      </c>
      <c r="C16" s="65" t="s">
        <v>32</v>
      </c>
      <c r="D16" s="63" t="s">
        <v>33</v>
      </c>
      <c r="E16" s="49" t="s">
        <v>422</v>
      </c>
      <c r="F16" s="49"/>
      <c r="G16" s="49"/>
    </row>
    <row r="17" spans="1:7" ht="42" customHeight="1" x14ac:dyDescent="0.35">
      <c r="A17" s="64" t="s">
        <v>235</v>
      </c>
      <c r="B17" s="51" t="s">
        <v>236</v>
      </c>
      <c r="C17" s="65" t="s">
        <v>32</v>
      </c>
      <c r="D17" s="63" t="s">
        <v>33</v>
      </c>
      <c r="E17" s="49" t="s">
        <v>418</v>
      </c>
      <c r="F17" s="49"/>
      <c r="G17" s="49"/>
    </row>
  </sheetData>
  <autoFilter ref="A3:G17" xr:uid="{00000000-0009-0000-0000-000005000000}"/>
  <mergeCells count="1">
    <mergeCell ref="A1:G1"/>
  </mergeCells>
  <dataValidations count="1">
    <dataValidation type="list" sqref="D4:D17" xr:uid="{DE64D4C6-601E-416A-AC35-71440E626B2E}">
      <formula1>"Chưa trả lời,Đã trả lời,Không áp dụng"</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showGridLines="0" zoomScaleNormal="100" workbookViewId="0">
      <pane ySplit="3" topLeftCell="A4" activePane="bottomLeft" state="frozen"/>
      <selection pane="bottomLeft" activeCell="B28" sqref="B28"/>
    </sheetView>
  </sheetViews>
  <sheetFormatPr defaultColWidth="8.6328125" defaultRowHeight="14.5" x14ac:dyDescent="0.35"/>
  <cols>
    <col min="1" max="1" width="6" customWidth="1"/>
    <col min="2" max="2" width="78" customWidth="1"/>
    <col min="3" max="3" width="60" customWidth="1"/>
    <col min="4" max="4" width="18" customWidth="1"/>
    <col min="5" max="5" width="34" customWidth="1"/>
  </cols>
  <sheetData>
    <row r="1" spans="1:5" ht="25.5" customHeight="1" x14ac:dyDescent="0.35">
      <c r="A1" s="4" t="s">
        <v>237</v>
      </c>
      <c r="B1" s="4"/>
      <c r="C1" s="4"/>
      <c r="D1" s="4"/>
      <c r="E1" s="4"/>
    </row>
    <row r="3" spans="1:5" ht="24" customHeight="1" x14ac:dyDescent="0.35">
      <c r="A3" s="8" t="s">
        <v>238</v>
      </c>
      <c r="B3" s="8" t="s">
        <v>239</v>
      </c>
      <c r="C3" s="8" t="s">
        <v>27</v>
      </c>
      <c r="D3" s="8" t="s">
        <v>21</v>
      </c>
      <c r="E3" s="8" t="s">
        <v>240</v>
      </c>
    </row>
    <row r="4" spans="1:5" ht="33.75" customHeight="1" x14ac:dyDescent="0.35">
      <c r="A4" s="37">
        <v>1</v>
      </c>
      <c r="B4" s="38" t="s">
        <v>241</v>
      </c>
      <c r="C4" s="38" t="s">
        <v>242</v>
      </c>
      <c r="D4" s="39" t="s">
        <v>243</v>
      </c>
      <c r="E4" s="40"/>
    </row>
    <row r="5" spans="1:5" ht="33.75" customHeight="1" x14ac:dyDescent="0.35">
      <c r="A5" s="41">
        <v>2</v>
      </c>
      <c r="B5" s="42" t="s">
        <v>244</v>
      </c>
      <c r="C5" s="42" t="s">
        <v>245</v>
      </c>
      <c r="D5" s="39" t="s">
        <v>243</v>
      </c>
      <c r="E5" s="40"/>
    </row>
    <row r="6" spans="1:5" ht="33.75" customHeight="1" x14ac:dyDescent="0.35">
      <c r="A6" s="37">
        <v>3</v>
      </c>
      <c r="B6" s="38" t="s">
        <v>246</v>
      </c>
      <c r="C6" s="38" t="s">
        <v>247</v>
      </c>
      <c r="D6" s="39" t="s">
        <v>243</v>
      </c>
      <c r="E6" s="40"/>
    </row>
    <row r="7" spans="1:5" ht="33.75" customHeight="1" x14ac:dyDescent="0.35">
      <c r="A7" s="41">
        <v>4</v>
      </c>
      <c r="B7" s="42" t="s">
        <v>248</v>
      </c>
      <c r="C7" s="42" t="s">
        <v>249</v>
      </c>
      <c r="D7" s="39" t="s">
        <v>243</v>
      </c>
      <c r="E7" s="40"/>
    </row>
    <row r="8" spans="1:5" ht="33.75" customHeight="1" x14ac:dyDescent="0.35">
      <c r="A8" s="37">
        <v>5</v>
      </c>
      <c r="B8" s="38" t="s">
        <v>250</v>
      </c>
      <c r="C8" s="38" t="s">
        <v>251</v>
      </c>
      <c r="D8" s="39" t="s">
        <v>243</v>
      </c>
      <c r="E8" s="40"/>
    </row>
    <row r="9" spans="1:5" ht="33.75" customHeight="1" x14ac:dyDescent="0.35">
      <c r="A9" s="41">
        <v>6</v>
      </c>
      <c r="B9" s="42" t="s">
        <v>252</v>
      </c>
      <c r="C9" s="42" t="s">
        <v>253</v>
      </c>
      <c r="D9" s="39" t="s">
        <v>243</v>
      </c>
      <c r="E9" s="40"/>
    </row>
    <row r="10" spans="1:5" ht="33.75" customHeight="1" x14ac:dyDescent="0.35">
      <c r="A10" s="37">
        <v>7</v>
      </c>
      <c r="B10" s="38" t="s">
        <v>254</v>
      </c>
      <c r="C10" s="38" t="s">
        <v>255</v>
      </c>
      <c r="D10" s="39" t="s">
        <v>243</v>
      </c>
      <c r="E10" s="40"/>
    </row>
    <row r="11" spans="1:5" ht="33.75" customHeight="1" x14ac:dyDescent="0.35">
      <c r="A11" s="41">
        <v>8</v>
      </c>
      <c r="B11" s="42" t="s">
        <v>256</v>
      </c>
      <c r="C11" s="42" t="s">
        <v>257</v>
      </c>
      <c r="D11" s="39" t="s">
        <v>243</v>
      </c>
      <c r="E11" s="40"/>
    </row>
  </sheetData>
  <mergeCells count="1">
    <mergeCell ref="A1:E1"/>
  </mergeCells>
  <dataValidations count="1">
    <dataValidation type="list" sqref="D4:D11" xr:uid="{00000000-0002-0000-0600-000000000000}">
      <formula1>"Chưa nhận,Đã nhận,Không có"</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1"/>
  <sheetViews>
    <sheetView showGridLines="0" zoomScaleNormal="100" workbookViewId="0">
      <selection sqref="A1:B1"/>
    </sheetView>
  </sheetViews>
  <sheetFormatPr defaultColWidth="8.6328125" defaultRowHeight="14.5" x14ac:dyDescent="0.35"/>
  <cols>
    <col min="1" max="1" width="110" customWidth="1"/>
    <col min="2" max="2" width="40" customWidth="1"/>
  </cols>
  <sheetData>
    <row r="1" spans="1:2" ht="25.5" customHeight="1" x14ac:dyDescent="0.35">
      <c r="A1" s="4" t="s">
        <v>258</v>
      </c>
      <c r="B1" s="4"/>
    </row>
    <row r="3" spans="1:2" ht="61.5" customHeight="1" x14ac:dyDescent="0.35">
      <c r="A3" s="2" t="s">
        <v>259</v>
      </c>
      <c r="B3" s="2"/>
    </row>
    <row r="5" spans="1:2" x14ac:dyDescent="0.35">
      <c r="A5" s="36" t="s">
        <v>260</v>
      </c>
    </row>
    <row r="7" spans="1:2" x14ac:dyDescent="0.35">
      <c r="A7" s="43" t="s">
        <v>261</v>
      </c>
    </row>
    <row r="8" spans="1:2" x14ac:dyDescent="0.35">
      <c r="A8" s="43" t="s">
        <v>262</v>
      </c>
    </row>
    <row r="9" spans="1:2" x14ac:dyDescent="0.35">
      <c r="A9" s="43" t="s">
        <v>263</v>
      </c>
    </row>
    <row r="10" spans="1:2" x14ac:dyDescent="0.35">
      <c r="A10" s="43" t="s">
        <v>264</v>
      </c>
    </row>
    <row r="11" spans="1:2" x14ac:dyDescent="0.35">
      <c r="A11" s="43" t="s">
        <v>265</v>
      </c>
    </row>
    <row r="12" spans="1:2" x14ac:dyDescent="0.35">
      <c r="A12" s="43" t="s">
        <v>266</v>
      </c>
    </row>
    <row r="13" spans="1:2" x14ac:dyDescent="0.35">
      <c r="A13" s="43" t="s">
        <v>267</v>
      </c>
    </row>
    <row r="14" spans="1:2" x14ac:dyDescent="0.35">
      <c r="A14" s="43" t="s">
        <v>268</v>
      </c>
    </row>
    <row r="15" spans="1:2" x14ac:dyDescent="0.35">
      <c r="A15" s="43" t="s">
        <v>269</v>
      </c>
    </row>
    <row r="16" spans="1:2" x14ac:dyDescent="0.35">
      <c r="A16" s="43" t="s">
        <v>270</v>
      </c>
    </row>
    <row r="17" spans="1:1" x14ac:dyDescent="0.35">
      <c r="A17" s="43" t="s">
        <v>271</v>
      </c>
    </row>
    <row r="19" spans="1:1" ht="25" x14ac:dyDescent="0.35">
      <c r="A19" s="6" t="s">
        <v>272</v>
      </c>
    </row>
    <row r="21" spans="1:1" ht="25" x14ac:dyDescent="0.35">
      <c r="A21" s="6" t="s">
        <v>273</v>
      </c>
    </row>
  </sheetData>
  <mergeCells count="2">
    <mergeCell ref="A1:B1"/>
    <mergeCell ref="A3:B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3"/>
  <sheetViews>
    <sheetView showGridLines="0" zoomScaleNormal="100" workbookViewId="0">
      <pane ySplit="3" topLeftCell="A4" activePane="bottomLeft" state="frozen"/>
      <selection pane="bottomLeft" activeCell="B4" sqref="B4:B11"/>
    </sheetView>
  </sheetViews>
  <sheetFormatPr defaultColWidth="8.6328125" defaultRowHeight="14.5" x14ac:dyDescent="0.35"/>
  <cols>
    <col min="1" max="1" width="80" customWidth="1"/>
    <col min="2" max="2" width="20" customWidth="1"/>
    <col min="3" max="3" width="40" customWidth="1"/>
  </cols>
  <sheetData>
    <row r="1" spans="1:3" ht="25.5" customHeight="1" x14ac:dyDescent="0.35">
      <c r="A1" s="4" t="s">
        <v>274</v>
      </c>
      <c r="B1" s="4"/>
      <c r="C1" s="4"/>
    </row>
    <row r="3" spans="1:3" ht="24" customHeight="1" x14ac:dyDescent="0.35">
      <c r="A3" s="8" t="s">
        <v>275</v>
      </c>
      <c r="B3" s="8" t="s">
        <v>21</v>
      </c>
      <c r="C3" s="8" t="s">
        <v>276</v>
      </c>
    </row>
    <row r="4" spans="1:3" ht="19.5" customHeight="1" x14ac:dyDescent="0.35">
      <c r="A4" s="44" t="s">
        <v>277</v>
      </c>
      <c r="B4" s="45" t="s">
        <v>397</v>
      </c>
      <c r="C4" s="52" t="s">
        <v>389</v>
      </c>
    </row>
    <row r="5" spans="1:3" ht="19.5" customHeight="1" x14ac:dyDescent="0.35">
      <c r="A5" s="44" t="s">
        <v>278</v>
      </c>
      <c r="B5" s="45" t="s">
        <v>397</v>
      </c>
      <c r="C5" s="52" t="s">
        <v>390</v>
      </c>
    </row>
    <row r="6" spans="1:3" ht="19.5" customHeight="1" x14ac:dyDescent="0.35">
      <c r="A6" s="44" t="s">
        <v>279</v>
      </c>
      <c r="B6" s="45" t="s">
        <v>397</v>
      </c>
      <c r="C6" s="52" t="s">
        <v>391</v>
      </c>
    </row>
    <row r="7" spans="1:3" ht="19.5" customHeight="1" x14ac:dyDescent="0.35">
      <c r="A7" s="44" t="s">
        <v>280</v>
      </c>
      <c r="B7" s="45" t="s">
        <v>397</v>
      </c>
      <c r="C7" s="52" t="s">
        <v>392</v>
      </c>
    </row>
    <row r="8" spans="1:3" ht="19.5" customHeight="1" x14ac:dyDescent="0.35">
      <c r="A8" s="44" t="s">
        <v>281</v>
      </c>
      <c r="B8" s="45" t="s">
        <v>397</v>
      </c>
      <c r="C8" s="52" t="s">
        <v>393</v>
      </c>
    </row>
    <row r="9" spans="1:3" ht="19.5" customHeight="1" x14ac:dyDescent="0.35">
      <c r="A9" s="44" t="s">
        <v>282</v>
      </c>
      <c r="B9" s="45" t="s">
        <v>397</v>
      </c>
      <c r="C9" s="53" t="s">
        <v>394</v>
      </c>
    </row>
    <row r="10" spans="1:3" ht="19.5" customHeight="1" x14ac:dyDescent="0.35">
      <c r="A10" s="44" t="s">
        <v>283</v>
      </c>
      <c r="B10" s="45" t="s">
        <v>397</v>
      </c>
      <c r="C10" s="53" t="s">
        <v>395</v>
      </c>
    </row>
    <row r="11" spans="1:3" ht="19.5" customHeight="1" x14ac:dyDescent="0.35">
      <c r="A11" s="54" t="s">
        <v>284</v>
      </c>
      <c r="B11" s="45" t="s">
        <v>397</v>
      </c>
      <c r="C11" s="53" t="s">
        <v>396</v>
      </c>
    </row>
    <row r="12" spans="1:3" ht="19.5" customHeight="1" x14ac:dyDescent="0.35">
      <c r="A12" s="44" t="s">
        <v>285</v>
      </c>
      <c r="B12" s="45" t="s">
        <v>51</v>
      </c>
      <c r="C12" s="46"/>
    </row>
    <row r="13" spans="1:3" ht="19.5" customHeight="1" x14ac:dyDescent="0.35">
      <c r="A13" s="54" t="s">
        <v>286</v>
      </c>
      <c r="B13" s="45" t="s">
        <v>51</v>
      </c>
      <c r="C13" s="46"/>
    </row>
  </sheetData>
  <mergeCells count="1">
    <mergeCell ref="A1:C1"/>
  </mergeCells>
  <dataValidations count="1">
    <dataValidation type="list" sqref="B4:B13" xr:uid="{00000000-0002-0000-0800-000000000000}">
      <formula1>"Chưa chạy,Đã chạy,Không áp dụng"</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3"/>
  <sheetViews>
    <sheetView showGridLines="0" zoomScaleNormal="100" workbookViewId="0">
      <selection sqref="A1:D1"/>
    </sheetView>
  </sheetViews>
  <sheetFormatPr defaultColWidth="8.6328125" defaultRowHeight="14.5" x14ac:dyDescent="0.35"/>
  <cols>
    <col min="1" max="1" width="26" customWidth="1"/>
    <col min="2" max="3" width="62" customWidth="1"/>
    <col min="4" max="4" width="26" customWidth="1"/>
  </cols>
  <sheetData>
    <row r="1" spans="1:4" ht="25.5" customHeight="1" x14ac:dyDescent="0.35">
      <c r="A1" s="4" t="s">
        <v>287</v>
      </c>
      <c r="B1" s="4"/>
      <c r="C1" s="4"/>
      <c r="D1" s="4"/>
    </row>
    <row r="3" spans="1:4" x14ac:dyDescent="0.35">
      <c r="A3" s="7" t="s">
        <v>288</v>
      </c>
    </row>
    <row r="4" spans="1:4" ht="24" customHeight="1" x14ac:dyDescent="0.35">
      <c r="A4" s="8" t="s">
        <v>289</v>
      </c>
      <c r="B4" s="8" t="s">
        <v>290</v>
      </c>
      <c r="C4" s="8" t="s">
        <v>291</v>
      </c>
      <c r="D4" s="8"/>
    </row>
    <row r="5" spans="1:4" ht="45.75" customHeight="1" x14ac:dyDescent="0.35">
      <c r="A5" s="47" t="s">
        <v>292</v>
      </c>
      <c r="B5" s="28" t="s">
        <v>293</v>
      </c>
      <c r="C5" s="28" t="s">
        <v>294</v>
      </c>
      <c r="D5" s="28"/>
    </row>
    <row r="6" spans="1:4" ht="45.75" customHeight="1" x14ac:dyDescent="0.35">
      <c r="A6" s="48" t="s">
        <v>295</v>
      </c>
      <c r="B6" s="33" t="s">
        <v>296</v>
      </c>
      <c r="C6" s="33" t="s">
        <v>297</v>
      </c>
      <c r="D6" s="33"/>
    </row>
    <row r="7" spans="1:4" x14ac:dyDescent="0.35">
      <c r="A7" s="36" t="s">
        <v>298</v>
      </c>
      <c r="B7" s="45" t="s">
        <v>299</v>
      </c>
    </row>
    <row r="10" spans="1:4" x14ac:dyDescent="0.35">
      <c r="A10" s="7" t="s">
        <v>300</v>
      </c>
    </row>
    <row r="11" spans="1:4" ht="24" customHeight="1" x14ac:dyDescent="0.35">
      <c r="A11" s="8" t="s">
        <v>301</v>
      </c>
      <c r="B11" s="8" t="s">
        <v>302</v>
      </c>
      <c r="C11" s="8" t="s">
        <v>303</v>
      </c>
      <c r="D11" s="8"/>
    </row>
    <row r="12" spans="1:4" ht="45.75" customHeight="1" x14ac:dyDescent="0.35">
      <c r="A12" s="47" t="s">
        <v>304</v>
      </c>
      <c r="B12" s="28" t="s">
        <v>305</v>
      </c>
      <c r="C12" s="28" t="s">
        <v>306</v>
      </c>
      <c r="D12" s="28"/>
    </row>
    <row r="13" spans="1:4" ht="45.75" customHeight="1" x14ac:dyDescent="0.35">
      <c r="A13" s="48" t="s">
        <v>307</v>
      </c>
      <c r="B13" s="33" t="s">
        <v>308</v>
      </c>
      <c r="C13" s="33" t="s">
        <v>309</v>
      </c>
      <c r="D13" s="33"/>
    </row>
    <row r="14" spans="1:4" ht="43.5" customHeight="1" x14ac:dyDescent="0.35">
      <c r="A14" s="3" t="s">
        <v>310</v>
      </c>
      <c r="B14" s="3"/>
      <c r="C14" s="3"/>
      <c r="D14" s="3"/>
    </row>
    <row r="15" spans="1:4" x14ac:dyDescent="0.35">
      <c r="A15" s="36" t="s">
        <v>298</v>
      </c>
      <c r="B15" s="45" t="s">
        <v>311</v>
      </c>
    </row>
    <row r="18" spans="1:4" x14ac:dyDescent="0.35">
      <c r="A18" s="7" t="s">
        <v>312</v>
      </c>
    </row>
    <row r="19" spans="1:4" ht="24" customHeight="1" x14ac:dyDescent="0.35">
      <c r="A19" s="8" t="s">
        <v>301</v>
      </c>
      <c r="B19" s="8" t="s">
        <v>302</v>
      </c>
      <c r="C19" s="8" t="s">
        <v>303</v>
      </c>
      <c r="D19" s="8"/>
    </row>
    <row r="20" spans="1:4" ht="45.75" customHeight="1" x14ac:dyDescent="0.35">
      <c r="A20" s="47" t="s">
        <v>313</v>
      </c>
      <c r="B20" s="28" t="s">
        <v>314</v>
      </c>
      <c r="C20" s="28" t="s">
        <v>315</v>
      </c>
      <c r="D20" s="28"/>
    </row>
    <row r="21" spans="1:4" ht="45.75" customHeight="1" x14ac:dyDescent="0.35">
      <c r="A21" s="48" t="s">
        <v>316</v>
      </c>
      <c r="B21" s="33" t="s">
        <v>317</v>
      </c>
      <c r="C21" s="33" t="s">
        <v>318</v>
      </c>
      <c r="D21" s="33"/>
    </row>
    <row r="22" spans="1:4" ht="43.5" customHeight="1" x14ac:dyDescent="0.35">
      <c r="A22" s="3" t="s">
        <v>319</v>
      </c>
      <c r="B22" s="3"/>
      <c r="C22" s="3"/>
      <c r="D22" s="3"/>
    </row>
    <row r="23" spans="1:4" x14ac:dyDescent="0.35">
      <c r="A23" s="36" t="s">
        <v>298</v>
      </c>
      <c r="B23" s="45" t="s">
        <v>320</v>
      </c>
    </row>
  </sheetData>
  <mergeCells count="3">
    <mergeCell ref="A1:D1"/>
    <mergeCell ref="A14:D14"/>
    <mergeCell ref="A22:D22"/>
  </mergeCells>
  <dataValidations count="3">
    <dataValidation type="list" sqref="B7" xr:uid="{00000000-0002-0000-0900-000000000000}">
      <formula1>"Chờ kết quả A9,(a),(b)"</formula1>
      <formula2>0</formula2>
    </dataValidation>
    <dataValidation type="list" sqref="B15" xr:uid="{00000000-0002-0000-0900-000001000000}">
      <formula1>"Chưa chốt,MUSTDUP,BESTEF"</formula1>
      <formula2>0</formula2>
    </dataValidation>
    <dataValidation type="list" sqref="B23" xr:uid="{00000000-0002-0000-0900-000002000000}">
      <formula1>"Chờ kết quả B11,Dừng toàn luồng,Dừng theo partition,Bỏ qua"</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
  <sheetViews>
    <sheetView showGridLines="0" zoomScaleNormal="100" workbookViewId="0">
      <pane ySplit="4" topLeftCell="A5" activePane="bottomLeft" state="frozen"/>
      <selection pane="bottomLeft" sqref="A1:D1"/>
    </sheetView>
  </sheetViews>
  <sheetFormatPr defaultColWidth="8.6328125" defaultRowHeight="14.5" x14ac:dyDescent="0.35"/>
  <cols>
    <col min="1" max="1" width="14" customWidth="1"/>
    <col min="2" max="2" width="34" customWidth="1"/>
    <col min="3" max="3" width="64" customWidth="1"/>
    <col min="4" max="4" width="62" customWidth="1"/>
  </cols>
  <sheetData>
    <row r="1" spans="1:4" ht="25.5" customHeight="1" x14ac:dyDescent="0.35">
      <c r="A1" s="4" t="s">
        <v>321</v>
      </c>
      <c r="B1" s="4"/>
      <c r="C1" s="4"/>
      <c r="D1" s="4"/>
    </row>
    <row r="2" spans="1:4" ht="30" customHeight="1" x14ac:dyDescent="0.35">
      <c r="A2" s="3" t="s">
        <v>322</v>
      </c>
      <c r="B2" s="3"/>
      <c r="C2" s="3"/>
      <c r="D2" s="3"/>
    </row>
    <row r="4" spans="1:4" ht="24" customHeight="1" x14ac:dyDescent="0.35">
      <c r="A4" s="8" t="s">
        <v>15</v>
      </c>
      <c r="B4" s="8" t="s">
        <v>48</v>
      </c>
      <c r="C4" s="8" t="s">
        <v>323</v>
      </c>
      <c r="D4" s="8" t="s">
        <v>324</v>
      </c>
    </row>
    <row r="5" spans="1:4" ht="39.75" customHeight="1" x14ac:dyDescent="0.35">
      <c r="A5" s="37" t="s">
        <v>325</v>
      </c>
      <c r="B5" s="38" t="s">
        <v>326</v>
      </c>
      <c r="C5" s="38" t="s">
        <v>327</v>
      </c>
      <c r="D5" s="38" t="s">
        <v>328</v>
      </c>
    </row>
    <row r="6" spans="1:4" ht="39.75" customHeight="1" x14ac:dyDescent="0.35">
      <c r="A6" s="41" t="s">
        <v>329</v>
      </c>
      <c r="B6" s="42" t="s">
        <v>330</v>
      </c>
      <c r="C6" s="42" t="s">
        <v>331</v>
      </c>
      <c r="D6" s="42" t="s">
        <v>332</v>
      </c>
    </row>
    <row r="7" spans="1:4" ht="39.75" customHeight="1" x14ac:dyDescent="0.35">
      <c r="A7" s="37" t="s">
        <v>333</v>
      </c>
      <c r="B7" s="38" t="s">
        <v>334</v>
      </c>
      <c r="C7" s="38" t="s">
        <v>335</v>
      </c>
      <c r="D7" s="38" t="s">
        <v>336</v>
      </c>
    </row>
    <row r="8" spans="1:4" ht="39.75" customHeight="1" x14ac:dyDescent="0.35">
      <c r="A8" s="41" t="s">
        <v>337</v>
      </c>
      <c r="B8" s="42" t="s">
        <v>338</v>
      </c>
      <c r="C8" s="42" t="s">
        <v>339</v>
      </c>
      <c r="D8" s="42" t="s">
        <v>340</v>
      </c>
    </row>
    <row r="9" spans="1:4" ht="39.75" customHeight="1" x14ac:dyDescent="0.35">
      <c r="A9" s="37" t="s">
        <v>122</v>
      </c>
      <c r="B9" s="38" t="s">
        <v>341</v>
      </c>
      <c r="C9" s="38" t="s">
        <v>342</v>
      </c>
      <c r="D9" s="38" t="s">
        <v>343</v>
      </c>
    </row>
    <row r="10" spans="1:4" ht="39.75" customHeight="1" x14ac:dyDescent="0.35">
      <c r="A10" s="41" t="s">
        <v>344</v>
      </c>
      <c r="B10" s="42" t="s">
        <v>345</v>
      </c>
      <c r="C10" s="42" t="s">
        <v>346</v>
      </c>
      <c r="D10" s="42" t="s">
        <v>347</v>
      </c>
    </row>
    <row r="12" spans="1:4" ht="30" customHeight="1" x14ac:dyDescent="0.35">
      <c r="A12" s="3" t="s">
        <v>348</v>
      </c>
      <c r="B12" s="3"/>
      <c r="C12" s="3"/>
      <c r="D12" s="3"/>
    </row>
  </sheetData>
  <mergeCells count="3">
    <mergeCell ref="A1:D1"/>
    <mergeCell ref="A2:D2"/>
    <mergeCell ref="A12:D1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9"/>
  <sheetViews>
    <sheetView showGridLines="0" zoomScaleNormal="100" workbookViewId="0">
      <selection sqref="A1:D1"/>
    </sheetView>
  </sheetViews>
  <sheetFormatPr defaultColWidth="8.6328125" defaultRowHeight="14.5" x14ac:dyDescent="0.35"/>
  <cols>
    <col min="1" max="1" width="8" customWidth="1"/>
    <col min="2" max="2" width="16" customWidth="1"/>
    <col min="3" max="3" width="46" customWidth="1"/>
    <col min="4" max="4" width="76" customWidth="1"/>
  </cols>
  <sheetData>
    <row r="1" spans="1:4" ht="25.5" customHeight="1" x14ac:dyDescent="0.35">
      <c r="A1" s="4" t="s">
        <v>349</v>
      </c>
      <c r="B1" s="4"/>
      <c r="C1" s="4"/>
      <c r="D1" s="4"/>
    </row>
    <row r="2" spans="1:4" ht="30" customHeight="1" x14ac:dyDescent="0.35">
      <c r="A2" s="3" t="s">
        <v>350</v>
      </c>
      <c r="B2" s="3"/>
      <c r="C2" s="3"/>
      <c r="D2" s="3"/>
    </row>
    <row r="4" spans="1:4" ht="24" customHeight="1" x14ac:dyDescent="0.35">
      <c r="A4" s="8" t="s">
        <v>238</v>
      </c>
      <c r="B4" s="8" t="s">
        <v>15</v>
      </c>
      <c r="C4" s="8" t="s">
        <v>48</v>
      </c>
      <c r="D4" s="8" t="s">
        <v>351</v>
      </c>
    </row>
    <row r="5" spans="1:4" ht="33.75" customHeight="1" x14ac:dyDescent="0.35">
      <c r="A5" s="37">
        <v>1</v>
      </c>
      <c r="B5" s="37" t="s">
        <v>108</v>
      </c>
      <c r="C5" s="38" t="s">
        <v>352</v>
      </c>
      <c r="D5" s="38" t="s">
        <v>353</v>
      </c>
    </row>
    <row r="6" spans="1:4" ht="33.75" customHeight="1" x14ac:dyDescent="0.35">
      <c r="A6" s="41">
        <v>2</v>
      </c>
      <c r="B6" s="41" t="s">
        <v>344</v>
      </c>
      <c r="C6" s="42" t="s">
        <v>354</v>
      </c>
      <c r="D6" s="42" t="s">
        <v>355</v>
      </c>
    </row>
    <row r="7" spans="1:4" ht="33.75" customHeight="1" x14ac:dyDescent="0.35">
      <c r="A7" s="37">
        <v>3</v>
      </c>
      <c r="B7" s="37" t="s">
        <v>128</v>
      </c>
      <c r="C7" s="38" t="s">
        <v>356</v>
      </c>
      <c r="D7" s="38" t="s">
        <v>357</v>
      </c>
    </row>
    <row r="8" spans="1:4" ht="33.75" customHeight="1" x14ac:dyDescent="0.35">
      <c r="A8" s="41">
        <v>4</v>
      </c>
      <c r="B8" s="41" t="s">
        <v>358</v>
      </c>
      <c r="C8" s="42" t="s">
        <v>359</v>
      </c>
      <c r="D8" s="42" t="s">
        <v>360</v>
      </c>
    </row>
    <row r="9" spans="1:4" ht="33.75" customHeight="1" x14ac:dyDescent="0.35">
      <c r="A9" s="37">
        <v>5</v>
      </c>
      <c r="B9" s="37" t="s">
        <v>361</v>
      </c>
      <c r="C9" s="38" t="s">
        <v>362</v>
      </c>
      <c r="D9" s="38" t="s">
        <v>363</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00_Huong_dan</vt:lpstr>
      <vt:lpstr>01_Tong_quan</vt:lpstr>
      <vt:lpstr>A_Ha_tang_MQ</vt:lpstr>
      <vt:lpstr>B_Interface_Amadeus</vt:lpstr>
      <vt:lpstr>C_Consumer</vt:lpstr>
      <vt:lpstr>D_Ket_noi_Bao_mat</vt:lpstr>
      <vt:lpstr>E1_Artifact</vt:lpstr>
      <vt:lpstr>E2_QSTATUS</vt:lpstr>
      <vt:lpstr>E3_MQSC</vt:lpstr>
      <vt:lpstr>F_Lua_chon_KT</vt:lpstr>
      <vt:lpstr>G_Xac_minh</vt:lpstr>
      <vt:lpstr>Phu_luc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Lương Thị Mai Phương</cp:lastModifiedBy>
  <cp:revision>0</cp:revision>
  <dcterms:created xsi:type="dcterms:W3CDTF">2026-08-05T03:00:25Z</dcterms:created>
  <dcterms:modified xsi:type="dcterms:W3CDTF">2026-08-06T09:24:58Z</dcterms:modified>
  <dc:language>en-US</dc:language>
</cp:coreProperties>
</file>